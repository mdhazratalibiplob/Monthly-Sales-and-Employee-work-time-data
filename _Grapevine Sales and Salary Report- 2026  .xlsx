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ust Sales &amp; Employee Expense" sheetId="1" r:id="rId5"/>
    <sheet state="visible" name="July Sales &amp; Employee Expense f" sheetId="2" r:id="rId6"/>
    <sheet state="visible" name="June Sales &amp; Employee Expense f" sheetId="3" r:id="rId7"/>
    <sheet state="visible" name="May Sales &amp; Employee Expense fo" sheetId="4" r:id="rId8"/>
    <sheet state="visible" name="April Sales &amp; Employee Expense " sheetId="5" r:id="rId9"/>
    <sheet state="visible" name="March Sales &amp; Employee Expense " sheetId="6" r:id="rId10"/>
    <sheet state="visible" name="February Sales &amp; Employee Expen" sheetId="7" r:id="rId11"/>
    <sheet state="visible" name="January Sales &amp; Employee Expens" sheetId="8" r:id="rId12"/>
  </sheets>
  <definedNames>
    <definedName hidden="1" localSheetId="4" name="_xlnm._FilterDatabase">'April Sales &amp; Employee Expense '!$A$1:$AA$50505</definedName>
    <definedName hidden="1" localSheetId="5" name="_xlnm._FilterDatabase">'March Sales &amp; Employee Expense '!$D$51:$F$81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tc={9852f2cf-ade6-4105-9cb5-3a221a82bd60}</author>
  </authors>
  <commentList>
    <comment authorId="0" xr:uid="{9852f2cf-ade6-4105-9cb5-3a221a82bd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with Sam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tc={262f615f-3a6f-463b-ac4e-6d76db070642}</author>
    <author>tc={52d8faf0-ff24-4b50-9d50-63fa0926620c}</author>
    <author>tc={691a8dc8-e453-4d46-bdf5-be51e0d94435}</author>
    <author>tc={d3eb6c33-6881-40bf-aeb8-bf16d36b8cec}</author>
  </authors>
  <commentList>
    <comment authorId="0" xr:uid="{262f615f-3a6f-463b-ac4e-6d76db070642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1000+1000+1654
</t>
      </text>
    </comment>
    <comment authorId="1" xr:uid="{52d8faf0-ff24-4b50-9d50-63fa0926620c}" ref="E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900 paid
</t>
      </text>
    </comment>
    <comment authorId="2" xr:uid="{691a8dc8-e453-4d46-bdf5-be51e0d94435}" ref="E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1530+
</t>
      </text>
    </comment>
    <comment authorId="3" xr:uid="{d3eb6c33-6881-40bf-aeb8-bf16d36b8cec}" ref="E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986+100+
</t>
      </text>
    </comment>
  </commentList>
</comments>
</file>

<file path=xl/sharedStrings.xml><?xml version="1.0" encoding="utf-8"?>
<sst xmlns="http://schemas.openxmlformats.org/spreadsheetml/2006/main" count="2156" uniqueCount="479">
  <si>
    <t>Day</t>
  </si>
  <si>
    <t>Date</t>
  </si>
  <si>
    <t>In-Line</t>
  </si>
  <si>
    <t>K1</t>
  </si>
  <si>
    <t>K2</t>
  </si>
  <si>
    <t>K3</t>
  </si>
  <si>
    <t>Total Sale</t>
  </si>
  <si>
    <t>Employees</t>
  </si>
  <si>
    <t>Cash</t>
  </si>
  <si>
    <t>Card</t>
  </si>
  <si>
    <t>Total</t>
  </si>
  <si>
    <t xml:space="preserve">Inline </t>
  </si>
  <si>
    <t>Hours</t>
  </si>
  <si>
    <t>Monday</t>
  </si>
  <si>
    <t>Friday</t>
  </si>
  <si>
    <t>Saturday</t>
  </si>
  <si>
    <t>Ali</t>
  </si>
  <si>
    <t>Nirjala</t>
  </si>
  <si>
    <t>Siri</t>
  </si>
  <si>
    <t>Dan</t>
  </si>
  <si>
    <t>Forhad</t>
  </si>
  <si>
    <t>Tuesday</t>
  </si>
  <si>
    <t>Sunday</t>
  </si>
  <si>
    <t>Full wallet man</t>
  </si>
  <si>
    <t>Wednesday</t>
  </si>
  <si>
    <t>Sumanth</t>
  </si>
  <si>
    <t>Thursday</t>
  </si>
  <si>
    <t>Full wallet woman</t>
  </si>
  <si>
    <t>Ali+Forhad</t>
  </si>
  <si>
    <t>Sam</t>
  </si>
  <si>
    <t>Back wallet man</t>
  </si>
  <si>
    <t>closed</t>
  </si>
  <si>
    <t>4th july</t>
  </si>
  <si>
    <t>Back wallet woman</t>
  </si>
  <si>
    <t>Big stone case</t>
  </si>
  <si>
    <t>Square girls cases</t>
  </si>
  <si>
    <t>Stone with ring cases</t>
  </si>
  <si>
    <t>Glitter stone case</t>
  </si>
  <si>
    <t>sumanth</t>
  </si>
  <si>
    <t>Glitter Flower Case</t>
  </si>
  <si>
    <t>left early</t>
  </si>
  <si>
    <t>Ali + Forhad</t>
  </si>
  <si>
    <t>Srinivas</t>
  </si>
  <si>
    <t>Flowers Case</t>
  </si>
  <si>
    <t>30 mins late + 1.30h early</t>
  </si>
  <si>
    <t>Boys Silicon cases</t>
  </si>
  <si>
    <t>Girls Silicon Cases</t>
  </si>
  <si>
    <t>m</t>
  </si>
  <si>
    <t>Girls Magsafe Clear/Frosted Cases</t>
  </si>
  <si>
    <t>Revanth</t>
  </si>
  <si>
    <t>Boys Magsafe clear/frosted cases</t>
  </si>
  <si>
    <t>Full clear/magsafe case</t>
  </si>
  <si>
    <t>Brand case like LV, Gucci, sports, nike non rubber</t>
  </si>
  <si>
    <t>Sam worked till 6pm</t>
  </si>
  <si>
    <t>Boys ickstand case</t>
  </si>
  <si>
    <t>18 mins late</t>
  </si>
  <si>
    <t>Boys Hard magsafe case</t>
  </si>
  <si>
    <t>22 mins late</t>
  </si>
  <si>
    <t>Rubber cases nike shoe, micky, hello kitty, jordan etc.</t>
  </si>
  <si>
    <t>forhad</t>
  </si>
  <si>
    <t>Heavy duty non brand otterbox cases</t>
  </si>
  <si>
    <t>IN-LINE</t>
  </si>
  <si>
    <t>Dan replaced sam</t>
  </si>
  <si>
    <t>Cash Total</t>
  </si>
  <si>
    <t>Card Total</t>
  </si>
  <si>
    <t>Total Monthly Sale</t>
  </si>
  <si>
    <t>30 mins late</t>
  </si>
  <si>
    <t>Ali+Revanth</t>
  </si>
  <si>
    <t>Vashnavi</t>
  </si>
  <si>
    <t>Vasuki</t>
  </si>
  <si>
    <t>-</t>
  </si>
  <si>
    <t>Last Month Cash</t>
  </si>
  <si>
    <t>This month Cash</t>
  </si>
  <si>
    <t>Cash Expense</t>
  </si>
  <si>
    <t>dn 30 mins late</t>
  </si>
  <si>
    <t>Cash in Hand</t>
  </si>
  <si>
    <t>Employee Expense</t>
  </si>
  <si>
    <t>Inventory expense</t>
  </si>
  <si>
    <t>PM Due</t>
  </si>
  <si>
    <t>Name</t>
  </si>
  <si>
    <t>CM cost</t>
  </si>
  <si>
    <t>Total cost</t>
  </si>
  <si>
    <t>Paid CM Cash</t>
  </si>
  <si>
    <t>siri</t>
  </si>
  <si>
    <t>Balance</t>
  </si>
  <si>
    <t>Phonelcdparts</t>
  </si>
  <si>
    <t>Cellular Pro</t>
  </si>
  <si>
    <t>Mobilesentrix</t>
  </si>
  <si>
    <t>AYM</t>
  </si>
  <si>
    <t>Others</t>
  </si>
  <si>
    <t>Replaced sunday work with M+M</t>
  </si>
  <si>
    <t>june 3 zelle</t>
  </si>
  <si>
    <t xml:space="preserve">Total employee Expense - </t>
  </si>
  <si>
    <t>Description</t>
  </si>
  <si>
    <t xml:space="preserve">This Month salary paid </t>
  </si>
  <si>
    <t xml:space="preserve">Last Month Amount paid </t>
  </si>
  <si>
    <t>Order - Date</t>
  </si>
  <si>
    <t>june 5 card</t>
  </si>
  <si>
    <t>Inventory $</t>
  </si>
  <si>
    <t>Employee Balance</t>
  </si>
  <si>
    <t>April - remaning balance paid on may 3rd total 1210</t>
  </si>
  <si>
    <t xml:space="preserve">Siri - </t>
  </si>
  <si>
    <t>From</t>
  </si>
  <si>
    <t>Card pay</t>
  </si>
  <si>
    <t>Cash pay</t>
  </si>
  <si>
    <t>Zelle pay</t>
  </si>
  <si>
    <t>Balance May 900</t>
  </si>
  <si>
    <t xml:space="preserve">Total extra Amount from Jan - April 
456.12 </t>
  </si>
  <si>
    <t>Sam -</t>
  </si>
  <si>
    <t>3220 +434</t>
  </si>
  <si>
    <t>Paid April balance - 2300</t>
  </si>
  <si>
    <t>Dan -</t>
  </si>
  <si>
    <t>Inline Exp</t>
  </si>
  <si>
    <t>paid by card</t>
  </si>
  <si>
    <t>House Exp</t>
  </si>
  <si>
    <t>Rent</t>
  </si>
  <si>
    <t>paid by me cash</t>
  </si>
  <si>
    <t>Balance May 
1530</t>
  </si>
  <si>
    <t>Paid Full</t>
  </si>
  <si>
    <t>Sumanth -</t>
  </si>
  <si>
    <t>House insurance</t>
  </si>
  <si>
    <t>paid by me</t>
  </si>
  <si>
    <t>Total Monthly Exp</t>
  </si>
  <si>
    <t>Water</t>
  </si>
  <si>
    <t>Electricity</t>
  </si>
  <si>
    <t>Total Monthly Loss/Profit</t>
  </si>
  <si>
    <t>Ibhrahim Bhai</t>
  </si>
  <si>
    <t>Vashnavi -</t>
  </si>
  <si>
    <t>House+Inline expense</t>
  </si>
  <si>
    <t>Vasuki -</t>
  </si>
  <si>
    <t>Deduction</t>
  </si>
  <si>
    <t>Actual Hour</t>
  </si>
  <si>
    <t>Nirjala -</t>
  </si>
  <si>
    <t>Checking</t>
  </si>
  <si>
    <t>Balance 986</t>
  </si>
  <si>
    <t>Inline Expense-</t>
  </si>
  <si>
    <t>Balance Due</t>
  </si>
  <si>
    <t>Paid -</t>
  </si>
  <si>
    <t>plp</t>
  </si>
  <si>
    <t xml:space="preserve">Employee Total </t>
  </si>
  <si>
    <t xml:space="preserve">Final Total </t>
  </si>
  <si>
    <t>House rent</t>
  </si>
  <si>
    <t>Employee</t>
  </si>
  <si>
    <t>Cash Sale</t>
  </si>
  <si>
    <t>Credit Sale</t>
  </si>
  <si>
    <t>Total Amount</t>
  </si>
  <si>
    <t>Daily Total Cash -</t>
  </si>
  <si>
    <t>Daily Total Sales -</t>
  </si>
  <si>
    <t>Available Cash -</t>
  </si>
  <si>
    <t>Monthly Total Cash -</t>
  </si>
  <si>
    <t>Monthly Total Sales -</t>
  </si>
  <si>
    <t>Pay Date</t>
  </si>
  <si>
    <t>Employee Name</t>
  </si>
  <si>
    <t>Amount Description</t>
  </si>
  <si>
    <t>cellfx</t>
  </si>
  <si>
    <t xml:space="preserve">Amount Paid </t>
  </si>
  <si>
    <t>O5/03/2026</t>
  </si>
  <si>
    <t>April Balance paid on May 5th with extra 456.12 Jan - April balance
Paid May - 2000</t>
  </si>
  <si>
    <t>754+2000</t>
  </si>
  <si>
    <t xml:space="preserve">Sam </t>
  </si>
  <si>
    <t xml:space="preserve">Paid April </t>
  </si>
  <si>
    <t>May Salary - 60 hours</t>
  </si>
  <si>
    <t>600+710</t>
  </si>
  <si>
    <t>April balance Paid - 2300
Paid May - 1000</t>
  </si>
  <si>
    <t>Shop Rent</t>
  </si>
  <si>
    <t>2300+1000</t>
  </si>
  <si>
    <t>Vaishnavi</t>
  </si>
  <si>
    <t xml:space="preserve">Paid May - 510 </t>
  </si>
  <si>
    <t>Paid 1000 + 800</t>
  </si>
  <si>
    <t>1000 + 800</t>
  </si>
  <si>
    <t>05/04/2026
05/22/2026</t>
  </si>
  <si>
    <t>Inline</t>
  </si>
  <si>
    <t>fire extinguisher- 30, water- 20
Cleaning -25 , Water &amp; hand wash - 35</t>
  </si>
  <si>
    <t>30+20+25+35</t>
  </si>
  <si>
    <t>S22+ back Camera - 33
Bacligh Issue - 95</t>
  </si>
  <si>
    <t>33+95</t>
  </si>
  <si>
    <t>Total Cash Out</t>
  </si>
  <si>
    <t>mobilenzo</t>
  </si>
  <si>
    <t>Shop Order card</t>
  </si>
  <si>
    <t>cellfashion</t>
  </si>
  <si>
    <t>house electricity</t>
  </si>
  <si>
    <t>Samsung</t>
  </si>
  <si>
    <t>S 26 Ultra</t>
  </si>
  <si>
    <t>full wallet, back wallet, man's silicon color case, clear</t>
  </si>
  <si>
    <t>S 23 Ultra</t>
  </si>
  <si>
    <t>Back wallet, Clear</t>
  </si>
  <si>
    <t>S 24 Ultra</t>
  </si>
  <si>
    <t>Back Wallet - black, brown</t>
  </si>
  <si>
    <t>S 26 Plus</t>
  </si>
  <si>
    <t>Men's kick stand cases, silicon cases, Women wallet cases, silicon cases</t>
  </si>
  <si>
    <t>S 26</t>
  </si>
  <si>
    <t>Men silicon cases, clear case</t>
  </si>
  <si>
    <t xml:space="preserve"> A 17</t>
  </si>
  <si>
    <t>20-30 mixed cases</t>
  </si>
  <si>
    <t>A 37</t>
  </si>
  <si>
    <t>Iphone</t>
  </si>
  <si>
    <t>13 PM</t>
  </si>
  <si>
    <t>Man's magsafe, Kickstand cases</t>
  </si>
  <si>
    <t>14 Pro</t>
  </si>
  <si>
    <t>Magsafe frosted all colors.</t>
  </si>
  <si>
    <t>15 Pro</t>
  </si>
  <si>
    <t>Flower, magsafe, kickstand</t>
  </si>
  <si>
    <t>Silicon -black, pink, purple, blue, magsafe, flower cases</t>
  </si>
  <si>
    <t>14 PM</t>
  </si>
  <si>
    <t>16 PM</t>
  </si>
  <si>
    <t>Flower magsafe, Silicon all color needed, Man's kickstand heavy duty cases</t>
  </si>
  <si>
    <t>16 Pro</t>
  </si>
  <si>
    <t>Men's wallet, Back wallet</t>
  </si>
  <si>
    <t>Ipad A16</t>
  </si>
  <si>
    <t>Heavy duty cases 10 pcs</t>
  </si>
  <si>
    <t>Power bank</t>
  </si>
  <si>
    <t>5k</t>
  </si>
  <si>
    <t>10 pcs</t>
  </si>
  <si>
    <t>10k</t>
  </si>
  <si>
    <t>Apple wired headphone</t>
  </si>
  <si>
    <t>type c</t>
  </si>
  <si>
    <t>type lightening</t>
  </si>
  <si>
    <t>Car charger</t>
  </si>
  <si>
    <t>duel</t>
  </si>
  <si>
    <t>Charger block</t>
  </si>
  <si>
    <t>20 watt</t>
  </si>
  <si>
    <t>20 pcs</t>
  </si>
  <si>
    <t>45 watt</t>
  </si>
  <si>
    <t>Long cable 10ft</t>
  </si>
  <si>
    <t>C-C</t>
  </si>
  <si>
    <t>C-Lightening</t>
  </si>
  <si>
    <t>USB-C</t>
  </si>
  <si>
    <t>USB-Lightening</t>
  </si>
  <si>
    <t>10 Pcs</t>
  </si>
  <si>
    <t>Screen Protector</t>
  </si>
  <si>
    <t>Ipad 10.2</t>
  </si>
  <si>
    <t>Clear</t>
  </si>
  <si>
    <t>50 pcs</t>
  </si>
  <si>
    <t>Privacy</t>
  </si>
  <si>
    <t>hrwireless</t>
  </si>
  <si>
    <t>needtocheck amount</t>
  </si>
  <si>
    <t>Inline Cash</t>
  </si>
  <si>
    <t>Refund -108.25 Inline</t>
  </si>
  <si>
    <t>Ismail zelle shashank-$1200</t>
  </si>
  <si>
    <t>Refund Zelle - 50$ K2</t>
  </si>
  <si>
    <t>K2 - Zelle 40$</t>
  </si>
  <si>
    <t>Inline - 39.00 costco</t>
  </si>
  <si>
    <t>K2 - 108.25$ Refund</t>
  </si>
  <si>
    <t>Inline- Zelle $200</t>
  </si>
  <si>
    <t>Inline - 45$ buy S21+ phone</t>
  </si>
  <si>
    <t>Inline -35$ zelle Payment</t>
  </si>
  <si>
    <t xml:space="preserve">Total Sale </t>
  </si>
  <si>
    <t>Total Cash</t>
  </si>
  <si>
    <t>Total Inventory</t>
  </si>
  <si>
    <t>Store Expenditure</t>
  </si>
  <si>
    <t>Total Salary given</t>
  </si>
  <si>
    <t>Available cash</t>
  </si>
  <si>
    <t>Used for salary April</t>
  </si>
  <si>
    <t>Inline - 150$ Zelle Payment</t>
  </si>
  <si>
    <t>Inline - 300$ Zelle Payment</t>
  </si>
  <si>
    <t>Hira</t>
  </si>
  <si>
    <t>Shashank</t>
  </si>
  <si>
    <t>Madhurya</t>
  </si>
  <si>
    <t xml:space="preserve">Dan </t>
  </si>
  <si>
    <t>Hira (Paid - 660)</t>
  </si>
  <si>
    <t>Madhurya (Paid - 290)</t>
  </si>
  <si>
    <t>Paid Hira - 660</t>
  </si>
  <si>
    <t>Revanth (Paid - 380)</t>
  </si>
  <si>
    <t>Hira (Paid - 330)</t>
  </si>
  <si>
    <t>Sam (Paid - 3000)</t>
  </si>
  <si>
    <t>Shashank (Paid -600)</t>
  </si>
  <si>
    <t>621 zelle Shashank</t>
  </si>
  <si>
    <t>Sumanth (Paid -221)</t>
  </si>
  <si>
    <t>Used for April Saraly - 285.57</t>
  </si>
  <si>
    <t>579 zelle Sumanth</t>
  </si>
  <si>
    <t>Sam (Cleaning -25)</t>
  </si>
  <si>
    <t>Sam (Water - 20)</t>
  </si>
  <si>
    <t xml:space="preserve">Vaishnavi </t>
  </si>
  <si>
    <t>(4 hours)</t>
  </si>
  <si>
    <t>Sam (Paid 1032)</t>
  </si>
  <si>
    <t>Paid Revanth - 380</t>
  </si>
  <si>
    <t>Heday</t>
  </si>
  <si>
    <t>N/A</t>
  </si>
  <si>
    <t>Paid Hira 30 hours 330</t>
  </si>
  <si>
    <t>siri (Paid 1000)</t>
  </si>
  <si>
    <t>Dan (paid 500)</t>
  </si>
  <si>
    <t>Vaishnavi (paid 200)</t>
  </si>
  <si>
    <t>Sumanth (paid 600)</t>
  </si>
  <si>
    <t>Shashank (paid 1001)</t>
  </si>
  <si>
    <t>Shashank (Paid - 440)</t>
  </si>
  <si>
    <t>Additional - 200$ 
from January balance</t>
  </si>
  <si>
    <t>Sam (Paid- 2187)</t>
  </si>
  <si>
    <t>Sumanth (Paid -580)</t>
  </si>
  <si>
    <t>Mall Hours</t>
  </si>
  <si>
    <t xml:space="preserve">Shashank - </t>
  </si>
  <si>
    <t>Teju-</t>
  </si>
  <si>
    <t xml:space="preserve">Sumanth - </t>
  </si>
  <si>
    <t>Sumanth (Paid) - 180</t>
  </si>
  <si>
    <t>Sam (Paid) - 39</t>
  </si>
  <si>
    <t>Amount</t>
  </si>
  <si>
    <r>
      <rPr>
        <rFont val="Arial"/>
        <color theme="1"/>
      </rPr>
      <t>Hira/Sam</t>
    </r>
    <r>
      <rPr>
        <rFont val="Arial"/>
        <b/>
        <color theme="1"/>
      </rPr>
      <t xml:space="preserve"> (Paid Hira- 1430)</t>
    </r>
  </si>
  <si>
    <t>Heday -(Paid -1337)</t>
  </si>
  <si>
    <t>Revanth -</t>
  </si>
  <si>
    <t>Amount Paid Date</t>
  </si>
  <si>
    <t>Teju(Paid) - 590</t>
  </si>
  <si>
    <t>Revanth (Paid)- 210</t>
  </si>
  <si>
    <t>Heday -</t>
  </si>
  <si>
    <t>Hira -</t>
  </si>
  <si>
    <t>621 zelle</t>
  </si>
  <si>
    <t>Shashank (Paid -1342)</t>
  </si>
  <si>
    <t>04/15/2026  04/30/2026</t>
  </si>
  <si>
    <t xml:space="preserve">Abhi </t>
  </si>
  <si>
    <t>Hira (Paid - 320)</t>
  </si>
  <si>
    <t>Ismail zelle shashank-$1200 (111 hours)</t>
  </si>
  <si>
    <t xml:space="preserve">Ram </t>
  </si>
  <si>
    <t>600+1001</t>
  </si>
  <si>
    <t>Revanth - Paid 390</t>
  </si>
  <si>
    <t>Sam (Buy) - 45</t>
  </si>
  <si>
    <t>Sam (paid -105)</t>
  </si>
  <si>
    <t>March Salary</t>
  </si>
  <si>
    <t>3000 + 1032</t>
  </si>
  <si>
    <t xml:space="preserve">Dan - </t>
  </si>
  <si>
    <t>Paid in May Balance</t>
  </si>
  <si>
    <t>Shashank (Paid) - 1089</t>
  </si>
  <si>
    <t>Madhurya - Paid 420</t>
  </si>
  <si>
    <t>04/16/2026  04/30/2026</t>
  </si>
  <si>
    <t>80 hours</t>
  </si>
  <si>
    <t>221+600</t>
  </si>
  <si>
    <t>579 zelle</t>
  </si>
  <si>
    <t>Madhurya -</t>
  </si>
  <si>
    <t>Sam - (Paid 413)</t>
  </si>
  <si>
    <t>38 hours</t>
  </si>
  <si>
    <t>Hira- Paid 660</t>
  </si>
  <si>
    <t>Sumanth (Paid) - 490</t>
  </si>
  <si>
    <t>Dan - Paid 390</t>
  </si>
  <si>
    <t>Siri - Paid 200</t>
  </si>
  <si>
    <t>Sumanth - Paid 700</t>
  </si>
  <si>
    <t>Shashank - Paid 990</t>
  </si>
  <si>
    <t>Water - 20$
cleaning -25$</t>
  </si>
  <si>
    <t>Shashank-</t>
  </si>
  <si>
    <t>25+20</t>
  </si>
  <si>
    <t>Mrach -288 April - 101 hours</t>
  </si>
  <si>
    <t>April Balance - 1414 + 240</t>
  </si>
  <si>
    <t>50 hours</t>
  </si>
  <si>
    <t>Siri -</t>
  </si>
  <si>
    <t>Hica -</t>
  </si>
  <si>
    <t>100hours</t>
  </si>
  <si>
    <t>Teju(Paid)- 600</t>
  </si>
  <si>
    <t>29 - hours</t>
  </si>
  <si>
    <t>Revanth-</t>
  </si>
  <si>
    <t xml:space="preserve"> 60 hours+30 hours</t>
  </si>
  <si>
    <t>660+330</t>
  </si>
  <si>
    <t>Cleaning</t>
  </si>
  <si>
    <t>Hira (Paid) - 1309</t>
  </si>
  <si>
    <t>20 hours</t>
  </si>
  <si>
    <t>Teju -</t>
  </si>
  <si>
    <t xml:space="preserve">Total </t>
  </si>
  <si>
    <t>Teju (Paid) - 200</t>
  </si>
  <si>
    <t>Revanth (Paid)-500</t>
  </si>
  <si>
    <t xml:space="preserve">Shashank (Paid) - 770 </t>
  </si>
  <si>
    <t>Sam (Cleaning)- 25</t>
  </si>
  <si>
    <t>Sumanth (Paid)-100</t>
  </si>
  <si>
    <t>Somya (Paid)- 100</t>
  </si>
  <si>
    <t>Sam (Water)- 44</t>
  </si>
  <si>
    <t>Sam (PAID) - 2000</t>
  </si>
  <si>
    <t>Heday (Paid)- 2012</t>
  </si>
  <si>
    <t>Hira (Paid) - 462</t>
  </si>
  <si>
    <t>Revanth (Paid)- 220</t>
  </si>
  <si>
    <t>03/08/2026
04/01/2026</t>
  </si>
  <si>
    <t>40 +122+90 hours</t>
  </si>
  <si>
    <t>440 +1342+990</t>
  </si>
  <si>
    <t>Other Expense -</t>
  </si>
  <si>
    <t>Paid for Feb month + march</t>
  </si>
  <si>
    <t>2187 + 413</t>
  </si>
  <si>
    <t>03/12/2026
04/01/2026</t>
  </si>
  <si>
    <t>58+70 hours</t>
  </si>
  <si>
    <t>580+700</t>
  </si>
  <si>
    <t>39 hours</t>
  </si>
  <si>
    <t>Madhurya-</t>
  </si>
  <si>
    <t>Water 2 times - 40
Cleaning items- 40 
Cleaning lady - 25</t>
  </si>
  <si>
    <t>65+40</t>
  </si>
  <si>
    <t>Febrauary+ March 288 +Ti</t>
  </si>
  <si>
    <t>2187 +413</t>
  </si>
  <si>
    <t>42 hours</t>
  </si>
  <si>
    <t>03/18/2026
04/01/2026</t>
  </si>
  <si>
    <t>130 +29+60 hours</t>
  </si>
  <si>
    <t>1430 +320+660</t>
  </si>
  <si>
    <t>107 hours</t>
  </si>
  <si>
    <t>99 +70 hours</t>
  </si>
  <si>
    <t>1089 + 770</t>
  </si>
  <si>
    <t>Teju</t>
  </si>
  <si>
    <t>59 +60+20 hours</t>
  </si>
  <si>
    <t>590+600+200</t>
  </si>
  <si>
    <t>Paid From March cash- 2187</t>
  </si>
  <si>
    <t>02/03/2026
02/17/2026
02/24/2026
03/01/2026</t>
  </si>
  <si>
    <t>Costco -39
Cleaning -25
Water -22
Water- 22
paid 2000</t>
  </si>
  <si>
    <t>39+44+25+2000</t>
  </si>
  <si>
    <t>02/02/2026
02/28/2026</t>
  </si>
  <si>
    <t xml:space="preserve">18 +49 +10 hours </t>
  </si>
  <si>
    <t>180+490+100</t>
  </si>
  <si>
    <t xml:space="preserve">Revanth - </t>
  </si>
  <si>
    <t>02/06/2026
02/28/2026</t>
  </si>
  <si>
    <t>21 +50 +22 hours</t>
  </si>
  <si>
    <t>210+500+220</t>
  </si>
  <si>
    <t>Buy phone S21</t>
  </si>
  <si>
    <t>Heday-</t>
  </si>
  <si>
    <t>Hica</t>
  </si>
  <si>
    <t>119 + 42 hours</t>
  </si>
  <si>
    <t>1309+462</t>
  </si>
  <si>
    <t xml:space="preserve">Somya- </t>
  </si>
  <si>
    <t>161 hours</t>
  </si>
  <si>
    <t>Inline expense</t>
  </si>
  <si>
    <t>Somya</t>
  </si>
  <si>
    <t>$180 +$140 Zelle to account</t>
  </si>
  <si>
    <t>Employee Salary</t>
  </si>
  <si>
    <t>Inventory Amounts</t>
  </si>
  <si>
    <t>200 Feb and 84.72 in April</t>
  </si>
  <si>
    <t>Paid - 420+200+200+84.72</t>
  </si>
  <si>
    <t>Alvi (Water)- 22</t>
  </si>
  <si>
    <t>Ifaath -</t>
  </si>
  <si>
    <t xml:space="preserve">Alvi - </t>
  </si>
  <si>
    <t>Shashank -</t>
  </si>
  <si>
    <t>Alvi -</t>
  </si>
  <si>
    <t xml:space="preserve">Hanish - </t>
  </si>
  <si>
    <t xml:space="preserve">Hanish (Paid)- 160 </t>
  </si>
  <si>
    <t>Shashank (Paid) - 500</t>
  </si>
  <si>
    <t xml:space="preserve">Hanish (Paid)- 100 </t>
  </si>
  <si>
    <t>Praneeth (Paid)- 100</t>
  </si>
  <si>
    <t>Alvi (Paid)- 1000</t>
  </si>
  <si>
    <t>Qadir -</t>
  </si>
  <si>
    <t>Sam (Paid)- 264</t>
  </si>
  <si>
    <t>Shashank (Paid)- 600</t>
  </si>
  <si>
    <t xml:space="preserve">Teju - </t>
  </si>
  <si>
    <t>Sam (Buy)- 80</t>
  </si>
  <si>
    <t>Qadir (Paid) - 910</t>
  </si>
  <si>
    <t>Teju (Paid)- 300</t>
  </si>
  <si>
    <t>Sam(Store Cleaning) - 20</t>
  </si>
  <si>
    <t>Sam (Paid)- 2000</t>
  </si>
  <si>
    <t>Shashank (Paid)- 900</t>
  </si>
  <si>
    <t>Teju (Paid)-  610</t>
  </si>
  <si>
    <t>Sam (Paid)- 1642</t>
  </si>
  <si>
    <t>Alvi (Paid) - 2600</t>
  </si>
  <si>
    <t>Shashank (Paid) - 530</t>
  </si>
  <si>
    <t>Teju (Paid)- 320</t>
  </si>
  <si>
    <t>Inventory Amount</t>
  </si>
  <si>
    <t>Store Expense</t>
  </si>
  <si>
    <t>Amount Date/Day off</t>
  </si>
  <si>
    <t>Refund Date</t>
  </si>
  <si>
    <t>Store</t>
  </si>
  <si>
    <t>Refund Amount</t>
  </si>
  <si>
    <t>Refund Transaction Details</t>
  </si>
  <si>
    <t>Phone LCD - 2,716.35</t>
  </si>
  <si>
    <t>Water and Buy phone - 155</t>
  </si>
  <si>
    <t>Alvi</t>
  </si>
  <si>
    <t>1/2/2026 - 
1/9/2026 -</t>
  </si>
  <si>
    <t>(Alvi -“Walmart water”- 21.88)
(Alvi - Paid $1000)</t>
  </si>
  <si>
    <t>22+1000+2600</t>
  </si>
  <si>
    <t>1/11/2026
1/21/2026</t>
  </si>
  <si>
    <t>37.89- Cash Refund
21.65 - Cash Refund</t>
  </si>
  <si>
    <t>Ipad case
Ipad case</t>
  </si>
  <si>
    <t>Phone LCD- 1,352.40</t>
  </si>
  <si>
    <t>Teju / Hanish / Praneeth</t>
  </si>
  <si>
    <t>1/4/2026 -
1/13/2026-
1/18/2026-
1/28/2026</t>
  </si>
  <si>
    <t xml:space="preserve">19th -23rd and 28th - (Paid Teju - 600$ for  61*10 hours)
16th to 18th - (Paid Teju - 300$ for 30*10 Hours)
3rd,4th - (Paid Hanish- 160$ for 16*10 hours)
8th - (Paid Praneeth - 100$ for 10 hours)
7th - (Paid Hanish - 100$ for 10 hours)
</t>
  </si>
  <si>
    <t>160+100+100+300+610+320</t>
  </si>
  <si>
    <t>259.8 - Card Refund</t>
  </si>
  <si>
    <t>Motorola Flip - 4 Screen Replacement</t>
  </si>
  <si>
    <t>Hanish -</t>
  </si>
  <si>
    <t>Phone LCD-1,625.65</t>
  </si>
  <si>
    <t>1/5/2026 - 
1/13/2026-
1/22/2026 -</t>
  </si>
  <si>
    <t xml:space="preserve">1st -5th - (Paid Shashank 500$ for 50 hours)
6th, 9th - 13th - (Paid Shashank 600$ for 60 hours) 7th&amp;8th off
14th - 22nd -(90 hours)
</t>
  </si>
  <si>
    <t>500+600+900+530</t>
  </si>
  <si>
    <t xml:space="preserve">Praneet - </t>
  </si>
  <si>
    <t>Mobilenzo- 585.6</t>
  </si>
  <si>
    <t>Qadir</t>
  </si>
  <si>
    <t>16th -Off</t>
  </si>
  <si>
    <t>10th -17th (Paid Qaadir 910$ for 70 hours)</t>
  </si>
  <si>
    <t>HR Wirless -583.30</t>
  </si>
  <si>
    <t>1/14/2026 -
1/22/2026 -</t>
  </si>
  <si>
    <t>Sam - (Walmart water and November Balance )
Inline - Bought Ipad A16 10the gen and Iphone 14 ProMax Phone
Store Cleaning - 20$
Sam - (Paid $2000)</t>
  </si>
  <si>
    <t>22+242 +80+20+2000+1631+11</t>
  </si>
  <si>
    <t>Bought Ipad A16 10the gen and Iphone 14 ProMax Phone</t>
  </si>
  <si>
    <t>HR Wirless -2302.88</t>
  </si>
  <si>
    <t>Final Expenditure for January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</si>
</sst>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mm -yyyy"/>
    <numFmt numFmtId="165" formatCode="&quot;$&quot;#,##0.00"/>
    <numFmt numFmtId="166" formatCode="ddd m/d"/>
    <numFmt numFmtId="167" formatCode="mmmm d"/>
    <numFmt numFmtId="168" formatCode="d mmmm"/>
    <numFmt numFmtId="169" formatCode="mm/dd/yyyy"/>
    <numFmt numFmtId="170" formatCode="m/d"/>
    <numFmt numFmtId="171" formatCode="m-d"/>
    <numFmt numFmtId="172" formatCode="mm-dd-yy"/>
    <numFmt numFmtId="173" formatCode="mm/dd"/>
    <numFmt numFmtId="174" formatCode="m/d/yyyy"/>
  </numFmts>
  <fonts count="52">
    <font>
      <sz val="10.0"/>
      <color rgb="FF000000"/>
      <name val="Arial"/>
      <scheme val="minor"/>
    </font>
    <font>
      <b/>
      <sz val="21.0"/>
      <color theme="1"/>
      <name val="Times New Roman"/>
    </font>
    <font>
      <b/>
      <sz val="17.0"/>
      <color theme="1"/>
      <name val="Times New Roman"/>
    </font>
    <font/>
    <font>
      <b/>
      <sz val="14.0"/>
      <color theme="1"/>
      <name val="Times New Roman"/>
    </font>
    <font>
      <color theme="1"/>
      <name val="Times New Roman"/>
    </font>
    <font>
      <b/>
      <sz val="12.0"/>
      <color theme="1"/>
      <name val="Times New Roman"/>
    </font>
    <font>
      <b/>
      <sz val="16.0"/>
      <color theme="1"/>
      <name val="Times New Roman"/>
    </font>
    <font>
      <b/>
      <sz val="14.0"/>
      <color theme="1"/>
      <name val="Arial"/>
      <scheme val="minor"/>
    </font>
    <font>
      <b/>
      <sz val="13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  <font>
      <color rgb="FFFF0000"/>
      <name val="Arial"/>
      <scheme val="minor"/>
    </font>
    <font>
      <color rgb="FF000000"/>
      <name val="Arial"/>
      <scheme val="minor"/>
    </font>
    <font>
      <b/>
      <sz val="13.0"/>
      <color rgb="FF000000"/>
      <name val="Times New Roman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Times New Roman"/>
    </font>
    <font>
      <sz val="13.0"/>
      <color rgb="FF000000"/>
      <name val="Times New Roman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Arial"/>
      <scheme val="minor"/>
    </font>
    <font>
      <b/>
      <color rgb="FFFF0000"/>
      <name val="Arial"/>
      <scheme val="minor"/>
    </font>
    <font>
      <sz val="12.0"/>
      <color rgb="FF4D4D4D"/>
      <name val="Arial"/>
    </font>
    <font>
      <b/>
      <sz val="10.0"/>
      <color theme="1"/>
      <name val="Arial"/>
      <scheme val="minor"/>
    </font>
    <font>
      <b/>
      <sz val="19.0"/>
      <color theme="1"/>
      <name val="Arial"/>
      <scheme val="minor"/>
    </font>
    <font>
      <sz val="12.0"/>
      <color rgb="FF4D4D4D"/>
      <name val="Graphik"/>
    </font>
    <font>
      <b/>
      <u/>
      <sz val="11.0"/>
      <color rgb="FF0000FF"/>
    </font>
    <font>
      <b/>
      <u/>
      <sz val="11.0"/>
      <color rgb="FF0000FF"/>
    </font>
    <font>
      <color theme="1"/>
      <name val="Arial"/>
    </font>
    <font>
      <b/>
      <sz val="15.0"/>
      <color theme="1"/>
      <name val="Arial"/>
    </font>
    <font>
      <sz val="15.0"/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</font>
    <font>
      <b/>
      <sz val="14.0"/>
      <color rgb="FF14A617"/>
      <name val="Arial"/>
    </font>
    <font>
      <b/>
      <sz val="11.0"/>
      <color rgb="FF777777"/>
      <name val="Arial"/>
    </font>
    <font>
      <sz val="11.0"/>
      <color rgb="FF7E7E7E"/>
      <name val="Arial"/>
    </font>
    <font>
      <b/>
      <sz val="12.0"/>
      <color rgb="FF212529"/>
      <name val="-apple-system"/>
    </font>
    <font>
      <sz val="14.0"/>
      <color rgb="FFD21312"/>
      <name val="Poppins"/>
    </font>
    <font>
      <sz val="9.0"/>
      <color rgb="FF000000"/>
      <name val="Arial"/>
    </font>
    <font>
      <b/>
      <sz val="14.0"/>
      <color rgb="FF14A617"/>
      <name val="Graphik"/>
    </font>
    <font>
      <b/>
      <sz val="14.0"/>
      <color theme="1"/>
      <name val="Arial"/>
    </font>
    <font>
      <sz val="15.0"/>
      <color theme="1"/>
      <name val="Arial"/>
    </font>
    <font>
      <b/>
      <color rgb="FF000000"/>
      <name val="Times New Roman"/>
    </font>
    <font>
      <b/>
      <sz val="10.0"/>
      <color theme="1"/>
      <name val="Times New Roman"/>
    </font>
    <font>
      <sz val="16.0"/>
      <color theme="1"/>
      <name val="Arial"/>
      <scheme val="minor"/>
    </font>
    <font>
      <sz val="17.0"/>
      <color theme="1"/>
      <name val="Arial"/>
      <scheme val="minor"/>
    </font>
    <font>
      <sz val="18.0"/>
      <color theme="1"/>
      <name val="Arial"/>
      <scheme val="minor"/>
    </font>
    <font>
      <sz val="12.0"/>
      <color theme="1"/>
      <name val="Aptos Narrow"/>
    </font>
    <font>
      <sz val="10.0"/>
      <color theme="1"/>
      <name val="Arial"/>
      <scheme val="minor"/>
    </font>
    <font>
      <b/>
      <sz val="18.0"/>
      <color theme="1"/>
      <name val="Arial"/>
      <scheme val="minor"/>
    </font>
  </fonts>
  <fills count="2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D7E6B"/>
        <bgColor rgb="FFDD7E6B"/>
      </patternFill>
    </fill>
    <fill>
      <patternFill patternType="solid">
        <fgColor rgb="FFCC4125"/>
        <bgColor rgb="FFCC4125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D0E0E3"/>
        <bgColor rgb="FFD0E0E3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EBF5FF"/>
        <bgColor rgb="FFEBF5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4CCCC"/>
        <bgColor rgb="FFF4CCCC"/>
      </patternFill>
    </fill>
    <fill>
      <patternFill patternType="solid">
        <fgColor rgb="FF76A5AF"/>
        <bgColor rgb="FF76A5AF"/>
      </patternFill>
    </fill>
    <fill>
      <patternFill patternType="solid">
        <fgColor rgb="FFFCE5CD"/>
        <bgColor rgb="FFFCE5CD"/>
      </patternFill>
    </fill>
  </fills>
  <borders count="17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</border>
    <border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164" xfId="0" applyAlignment="1" applyBorder="1" applyFill="1" applyFont="1" applyNumberFormat="1">
      <alignment horizontal="center" readingOrder="0" shrinkToFit="0" textRotation="0" wrapText="0"/>
    </xf>
    <xf borderId="3" fillId="2" fontId="1" numFmtId="0" xfId="0" applyAlignment="1" applyBorder="1" applyFill="1" applyFont="1">
      <alignment horizontal="center"/>
    </xf>
    <xf borderId="4" fillId="0" fontId="3" numFmtId="0" xfId="0" applyBorder="1" applyFont="1"/>
    <xf borderId="2" fillId="4" fontId="4" numFmtId="0" xfId="0" applyAlignment="1" applyBorder="1" applyFill="1" applyFont="1">
      <alignment horizontal="center" vertical="bottom"/>
    </xf>
    <xf borderId="5" fillId="0" fontId="3" numFmtId="0" xfId="0" applyBorder="1" applyFont="1"/>
    <xf borderId="0" fillId="0" fontId="5" numFmtId="0" xfId="0" applyFont="1"/>
    <xf borderId="2" fillId="5" fontId="4" numFmtId="0" xfId="0" applyAlignment="1" applyBorder="1" applyFill="1" applyFont="1">
      <alignment horizontal="center" vertical="bottom"/>
    </xf>
    <xf borderId="2" fillId="6" fontId="4" numFmtId="0" xfId="0" applyAlignment="1" applyBorder="1" applyFill="1" applyFont="1">
      <alignment horizontal="center" vertical="bottom"/>
    </xf>
    <xf borderId="2" fillId="7" fontId="4" numFmtId="0" xfId="0" applyAlignment="1" applyBorder="1" applyFill="1" applyFont="1">
      <alignment horizontal="center" vertical="bottom"/>
    </xf>
    <xf borderId="1" fillId="2" fontId="6" numFmtId="0" xfId="0" applyAlignment="1" applyBorder="1" applyFill="1" applyFont="1">
      <alignment horizontal="center" readingOrder="0"/>
    </xf>
    <xf borderId="6" fillId="8" fontId="7" numFmtId="0" xfId="0" applyAlignment="1" applyBorder="1" applyFill="1" applyFont="1">
      <alignment horizontal="center" readingOrder="0"/>
    </xf>
    <xf borderId="3" fillId="2" fontId="6" numFmtId="0" xfId="0" applyAlignment="1" applyBorder="1" applyFill="1" applyFont="1">
      <alignment horizontal="center"/>
    </xf>
    <xf borderId="0" fillId="2" fontId="8" numFmtId="0" xfId="0" applyAlignment="1" applyFill="1" applyFont="1">
      <alignment horizontal="center" readingOrder="0"/>
    </xf>
    <xf borderId="2" fillId="4" fontId="6" numFmtId="0" xfId="0" applyAlignment="1" applyBorder="1" applyFill="1" applyFont="1">
      <alignment horizontal="center" vertical="bottom"/>
    </xf>
    <xf borderId="7" fillId="0" fontId="3" numFmtId="0" xfId="0" applyBorder="1" applyFont="1"/>
    <xf borderId="8" fillId="0" fontId="3" numFmtId="0" xfId="0" applyBorder="1" applyFont="1"/>
    <xf borderId="9" fillId="4" fontId="4" numFmtId="0" xfId="0" applyAlignment="1" applyBorder="1" applyFill="1" applyFont="1">
      <alignment horizontal="center" vertical="bottom"/>
    </xf>
    <xf borderId="2" fillId="5" fontId="6" numFmtId="0" xfId="0" applyAlignment="1" applyBorder="1" applyFill="1" applyFont="1">
      <alignment horizontal="center" vertical="bottom"/>
    </xf>
    <xf borderId="9" fillId="5" fontId="4" numFmtId="0" xfId="0" applyAlignment="1" applyBorder="1" applyFill="1" applyFont="1">
      <alignment horizontal="center" vertical="bottom"/>
    </xf>
    <xf borderId="2" fillId="6" fontId="6" numFmtId="0" xfId="0" applyAlignment="1" applyBorder="1" applyFill="1" applyFont="1">
      <alignment horizontal="center" vertical="bottom"/>
    </xf>
    <xf borderId="9" fillId="6" fontId="4" numFmtId="0" xfId="0" applyAlignment="1" applyBorder="1" applyFill="1" applyFont="1">
      <alignment horizontal="center" vertical="bottom"/>
    </xf>
    <xf borderId="9" fillId="7" fontId="4" numFmtId="0" xfId="0" applyAlignment="1" applyBorder="1" applyFill="1" applyFont="1">
      <alignment horizontal="center" vertical="bottom"/>
    </xf>
    <xf borderId="2" fillId="7" fontId="6" numFmtId="0" xfId="0" applyAlignment="1" applyBorder="1" applyFill="1" applyFont="1">
      <alignment horizontal="center" vertical="bottom"/>
    </xf>
    <xf borderId="9" fillId="9" fontId="8" numFmtId="0" xfId="0" applyAlignment="1" applyBorder="1" applyFill="1" applyFont="1">
      <alignment readingOrder="0"/>
    </xf>
    <xf borderId="0" fillId="10" fontId="9" numFmtId="0" xfId="0" applyAlignment="1" applyFill="1" applyFont="1">
      <alignment readingOrder="0"/>
    </xf>
    <xf borderId="9" fillId="4" fontId="6" numFmtId="0" xfId="0" applyAlignment="1" applyBorder="1" applyFill="1" applyFont="1">
      <alignment horizontal="center" vertical="bottom"/>
    </xf>
    <xf borderId="9" fillId="5" fontId="6" numFmtId="0" xfId="0" applyAlignment="1" applyBorder="1" applyFill="1" applyFont="1">
      <alignment horizontal="center" vertical="bottom"/>
    </xf>
    <xf borderId="9" fillId="0" fontId="6" numFmtId="0" xfId="0" applyAlignment="1" applyBorder="1" applyFont="1">
      <alignment horizontal="right" readingOrder="0" vertical="bottom"/>
    </xf>
    <xf borderId="9" fillId="6" fontId="6" numFmtId="0" xfId="0" applyAlignment="1" applyBorder="1" applyFill="1" applyFont="1">
      <alignment horizontal="center" vertical="bottom"/>
    </xf>
    <xf borderId="9" fillId="0" fontId="6" numFmtId="14" xfId="0" applyAlignment="1" applyBorder="1" applyFont="1" applyNumberFormat="1">
      <alignment horizontal="right" readingOrder="0" vertical="bottom"/>
    </xf>
    <xf borderId="9" fillId="7" fontId="6" numFmtId="0" xfId="0" applyAlignment="1" applyBorder="1" applyFill="1" applyFont="1">
      <alignment horizontal="center" vertical="bottom"/>
    </xf>
    <xf borderId="9" fillId="0" fontId="10" numFmtId="0" xfId="0" applyAlignment="1" applyBorder="1" applyFont="1">
      <alignment horizontal="right" readingOrder="0" vertical="bottom"/>
    </xf>
    <xf borderId="9" fillId="0" fontId="6" numFmtId="0" xfId="0" applyAlignment="1" applyBorder="1" applyFont="1">
      <alignment horizontal="right" readingOrder="0" shrinkToFit="0" vertical="bottom" wrapText="0"/>
    </xf>
    <xf borderId="9" fillId="11" fontId="10" numFmtId="165" xfId="0" applyAlignment="1" applyBorder="1" applyFill="1" applyFont="1" applyNumberFormat="1">
      <alignment horizontal="right" readingOrder="0" vertical="bottom"/>
    </xf>
    <xf borderId="9" fillId="8" fontId="6" numFmtId="0" xfId="0" applyAlignment="1" applyBorder="1" applyFill="1" applyFont="1">
      <alignment horizontal="right" readingOrder="0" vertical="bottom"/>
    </xf>
    <xf borderId="9" fillId="8" fontId="6" numFmtId="0" xfId="0" applyAlignment="1" applyBorder="1" applyFill="1" applyFont="1">
      <alignment horizontal="right" vertical="bottom"/>
    </xf>
    <xf borderId="0" fillId="8" fontId="4" numFmtId="165" xfId="0" applyFill="1" applyFont="1" applyNumberFormat="1"/>
    <xf borderId="0" fillId="10" fontId="4" numFmtId="0" xfId="0" applyFill="1" applyFont="1"/>
    <xf borderId="0" fillId="0" fontId="6" numFmtId="0" xfId="0" applyAlignment="1" applyFont="1">
      <alignment horizontal="right" readingOrder="0" vertical="bottom"/>
    </xf>
    <xf borderId="9" fillId="12" fontId="11" numFmtId="0" xfId="0" applyAlignment="1" applyBorder="1" applyFill="1" applyFont="1">
      <alignment readingOrder="0" shrinkToFit="0" textRotation="0" vertical="top" wrapText="1"/>
    </xf>
    <xf borderId="9" fillId="12" fontId="11" numFmtId="0" xfId="0" applyAlignment="1" applyBorder="1" applyFill="1" applyFont="1">
      <alignment readingOrder="0" shrinkToFit="0" vertical="top" wrapText="1"/>
    </xf>
    <xf borderId="9" fillId="0" fontId="11" numFmtId="0" xfId="0" applyAlignment="1" applyBorder="1" applyFont="1">
      <alignment horizontal="left" readingOrder="0"/>
    </xf>
    <xf borderId="0" fillId="0" fontId="11" numFmtId="0" xfId="0" applyAlignment="1" applyFont="1">
      <alignment readingOrder="0"/>
    </xf>
    <xf borderId="9" fillId="13" fontId="10" numFmtId="0" xfId="0" applyAlignment="1" applyBorder="1" applyFill="1" applyFont="1">
      <alignment horizontal="right" readingOrder="0" vertical="bottom"/>
    </xf>
    <xf borderId="9" fillId="12" fontId="10" numFmtId="0" xfId="0" applyAlignment="1" applyBorder="1" applyFill="1" applyFont="1">
      <alignment horizontal="right" readingOrder="0" vertical="bottom"/>
    </xf>
    <xf borderId="9" fillId="13" fontId="10" numFmtId="165" xfId="0" applyAlignment="1" applyBorder="1" applyFill="1" applyFont="1" applyNumberFormat="1">
      <alignment horizontal="right" readingOrder="0" vertical="bottom"/>
    </xf>
    <xf borderId="9" fillId="12" fontId="12" numFmtId="0" xfId="0" applyAlignment="1" applyBorder="1" applyFill="1" applyFont="1">
      <alignment readingOrder="0" shrinkToFit="0" textRotation="0" vertical="top" wrapText="1"/>
    </xf>
    <xf borderId="9" fillId="11" fontId="10" numFmtId="165" xfId="0" applyAlignment="1" applyBorder="1" applyFill="1" applyFont="1" applyNumberFormat="1">
      <alignment horizontal="right" readingOrder="0" shrinkToFit="0" vertical="bottom" wrapText="0"/>
    </xf>
    <xf borderId="9" fillId="0" fontId="10" numFmtId="165" xfId="0" applyAlignment="1" applyBorder="1" applyFont="1" applyNumberFormat="1">
      <alignment horizontal="right" readingOrder="0" vertical="bottom"/>
    </xf>
    <xf borderId="9" fillId="8" fontId="6" numFmtId="165" xfId="0" applyAlignment="1" applyBorder="1" applyFill="1" applyFont="1" applyNumberFormat="1">
      <alignment horizontal="right" vertical="bottom"/>
    </xf>
    <xf borderId="0" fillId="10" fontId="4" numFmtId="165" xfId="0" applyFill="1" applyFont="1" applyNumberFormat="1"/>
    <xf borderId="9" fillId="13" fontId="10" numFmtId="165" xfId="0" applyAlignment="1" applyBorder="1" applyFill="1" applyFont="1" applyNumberFormat="1">
      <alignment horizontal="right" readingOrder="0" vertical="bottom"/>
    </xf>
    <xf borderId="9" fillId="12" fontId="10" numFmtId="165" xfId="0" applyAlignment="1" applyBorder="1" applyFill="1" applyFont="1" applyNumberFormat="1">
      <alignment horizontal="right" readingOrder="0" vertical="bottom"/>
    </xf>
    <xf borderId="9" fillId="0" fontId="11" numFmtId="0" xfId="0" applyAlignment="1" applyBorder="1" applyFont="1">
      <alignment readingOrder="0"/>
    </xf>
    <xf borderId="0" fillId="12" fontId="11" numFmtId="0" xfId="0" applyAlignment="1" applyFill="1" applyFont="1">
      <alignment readingOrder="0"/>
    </xf>
    <xf borderId="9" fillId="12" fontId="13" numFmtId="0" xfId="0" applyAlignment="1" applyBorder="1" applyFill="1" applyFont="1">
      <alignment readingOrder="0" shrinkToFit="0" vertical="top" wrapText="1"/>
    </xf>
    <xf borderId="9" fillId="8" fontId="6" numFmtId="0" xfId="0" applyAlignment="1" applyBorder="1" applyFill="1" applyFont="1">
      <alignment vertical="bottom"/>
    </xf>
    <xf borderId="9" fillId="0" fontId="13" numFmtId="0" xfId="0" applyAlignment="1" applyBorder="1" applyFont="1">
      <alignment horizontal="left" readingOrder="0"/>
    </xf>
    <xf borderId="9" fillId="0" fontId="5" numFmtId="0" xfId="0" applyAlignment="1" applyBorder="1" applyFont="1">
      <alignment readingOrder="0"/>
    </xf>
    <xf borderId="0" fillId="0" fontId="9" numFmtId="0" xfId="0" applyAlignment="1" applyFont="1">
      <alignment horizontal="right" vertical="bottom"/>
    </xf>
    <xf borderId="0" fillId="0" fontId="9" numFmtId="0" xfId="0" applyFont="1"/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8" fontId="14" numFmtId="0" xfId="0" applyFill="1" applyFont="1"/>
    <xf borderId="0" fillId="14" fontId="9" numFmtId="0" xfId="0" applyFill="1" applyFont="1"/>
    <xf borderId="0" fillId="8" fontId="9" numFmtId="0" xfId="0" applyFill="1" applyFont="1"/>
    <xf borderId="0" fillId="12" fontId="11" numFmtId="0" xfId="0" applyFill="1" applyFont="1"/>
    <xf borderId="0" fillId="0" fontId="15" numFmtId="0" xfId="0" applyFont="1"/>
    <xf borderId="9" fillId="0" fontId="15" numFmtId="0" xfId="0" applyBorder="1" applyFont="1"/>
    <xf borderId="9" fillId="0" fontId="15" numFmtId="0" xfId="0" applyAlignment="1" applyBorder="1" applyFont="1">
      <alignment horizontal="center"/>
    </xf>
    <xf borderId="0" fillId="10" fontId="16" numFmtId="0" xfId="0" applyFill="1" applyFont="1"/>
    <xf borderId="0" fillId="12" fontId="9" numFmtId="0" xfId="0" applyAlignment="1" applyFill="1" applyFont="1">
      <alignment vertical="bottom"/>
    </xf>
    <xf borderId="0" fillId="8" fontId="9" numFmtId="0" xfId="0" applyAlignment="1" applyFill="1" applyFont="1">
      <alignment vertical="bottom"/>
    </xf>
    <xf borderId="0" fillId="8" fontId="14" numFmtId="165" xfId="0" applyFill="1" applyFont="1" applyNumberFormat="1"/>
    <xf borderId="0" fillId="8" fontId="9" numFmtId="0" xfId="0" applyAlignment="1" applyFill="1" applyFont="1">
      <alignment horizontal="right" vertical="bottom"/>
    </xf>
    <xf borderId="0" fillId="8" fontId="9" numFmtId="165" xfId="0" applyFill="1" applyFont="1" applyNumberFormat="1"/>
    <xf borderId="0" fillId="12" fontId="9" numFmtId="0" xfId="0" applyFill="1" applyFont="1"/>
    <xf borderId="0" fillId="12" fontId="17" numFmtId="0" xfId="0" applyFill="1" applyFont="1"/>
    <xf borderId="0" fillId="12" fontId="9" numFmtId="0" xfId="0" applyAlignment="1" applyFill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16" numFmtId="165" xfId="0" applyFill="1" applyFont="1" applyNumberFormat="1"/>
    <xf borderId="0" fillId="0" fontId="13" numFmtId="0" xfId="0" applyFont="1"/>
    <xf borderId="0" fillId="15" fontId="15" numFmtId="0" xfId="0" applyFill="1" applyFont="1"/>
    <xf borderId="9" fillId="9" fontId="15" numFmtId="0" xfId="0" applyAlignment="1" applyBorder="1" applyFill="1" applyFont="1">
      <alignment readingOrder="0"/>
    </xf>
    <xf borderId="9" fillId="15" fontId="15" numFmtId="0" xfId="0" applyBorder="1" applyFill="1" applyFont="1"/>
    <xf borderId="0" fillId="0" fontId="11" numFmtId="0" xfId="0" applyAlignment="1" applyFont="1">
      <alignment horizontal="right"/>
    </xf>
    <xf borderId="0" fillId="8" fontId="14" numFmtId="0" xfId="0" applyAlignment="1" applyFill="1" applyFont="1">
      <alignment vertical="bottom"/>
    </xf>
    <xf borderId="0" fillId="8" fontId="18" numFmtId="165" xfId="0" applyAlignment="1" applyFill="1" applyFont="1" applyNumberFormat="1">
      <alignment horizontal="right" readingOrder="0" vertical="bottom"/>
    </xf>
    <xf borderId="0" fillId="0" fontId="13" numFmtId="0" xfId="0" applyAlignment="1" applyFont="1">
      <alignment readingOrder="0"/>
    </xf>
    <xf borderId="0" fillId="0" fontId="13" numFmtId="165" xfId="0" applyFont="1" applyNumberFormat="1"/>
    <xf borderId="0" fillId="16" fontId="14" numFmtId="0" xfId="0" applyAlignment="1" applyFill="1" applyFont="1">
      <alignment vertical="bottom"/>
    </xf>
    <xf borderId="0" fillId="12" fontId="19" numFmtId="0" xfId="0" applyAlignment="1" applyFill="1" applyFont="1">
      <alignment readingOrder="0"/>
    </xf>
    <xf borderId="0" fillId="16" fontId="18" numFmtId="165" xfId="0" applyAlignment="1" applyFill="1" applyFont="1" applyNumberFormat="1">
      <alignment horizontal="right" readingOrder="0" vertical="bottom"/>
    </xf>
    <xf borderId="0" fillId="0" fontId="6" numFmtId="14" xfId="0" applyAlignment="1" applyFont="1" applyNumberFormat="1">
      <alignment horizontal="right" readingOrder="0" vertical="bottom"/>
    </xf>
    <xf borderId="0" fillId="2" fontId="20" numFmtId="0" xfId="0" applyAlignment="1" applyFill="1" applyFont="1">
      <alignment readingOrder="0"/>
    </xf>
    <xf borderId="0" fillId="12" fontId="11" numFmtId="0" xfId="0" applyAlignment="1" applyFill="1" applyFont="1">
      <alignment readingOrder="0" shrinkToFit="0" textRotation="0" vertical="top" wrapText="1"/>
    </xf>
    <xf borderId="0" fillId="12" fontId="11" numFmtId="0" xfId="0" applyAlignment="1" applyFill="1" applyFont="1">
      <alignment readingOrder="0" shrinkToFit="0" vertical="top" wrapText="1"/>
    </xf>
    <xf borderId="0" fillId="2" fontId="20" numFmtId="165" xfId="0" applyFill="1" applyFont="1" applyNumberFormat="1"/>
    <xf borderId="0" fillId="12" fontId="14" numFmtId="0" xfId="0" applyFill="1" applyFont="1"/>
    <xf borderId="0" fillId="12" fontId="19" numFmtId="0" xfId="0" applyAlignment="1" applyFill="1" applyFont="1">
      <alignment readingOrder="0" shrinkToFit="0" wrapText="1"/>
    </xf>
    <xf borderId="0" fillId="12" fontId="18" numFmtId="0" xfId="0" applyFill="1" applyFont="1"/>
    <xf borderId="0" fillId="8" fontId="14" numFmtId="0" xfId="0" applyAlignment="1" applyFill="1" applyFont="1">
      <alignment readingOrder="0" shrinkToFit="0" wrapText="1"/>
    </xf>
    <xf borderId="0" fillId="0" fontId="19" numFmtId="0" xfId="0" applyAlignment="1" applyFont="1">
      <alignment horizontal="center" readingOrder="0"/>
    </xf>
    <xf borderId="0" fillId="17" fontId="8" numFmtId="0" xfId="0" applyAlignment="1" applyFill="1" applyFont="1">
      <alignment readingOrder="0"/>
    </xf>
    <xf borderId="0" fillId="17" fontId="21" numFmtId="0" xfId="0" applyAlignment="1" applyFill="1" applyFont="1">
      <alignment readingOrder="0"/>
    </xf>
    <xf borderId="9" fillId="18" fontId="22" numFmtId="0" xfId="0" applyAlignment="1" applyBorder="1" applyFill="1" applyFont="1">
      <alignment readingOrder="0"/>
    </xf>
    <xf borderId="9" fillId="2" fontId="11" numFmtId="0" xfId="0" applyAlignment="1" applyBorder="1" applyFill="1" applyFont="1">
      <alignment readingOrder="0"/>
    </xf>
    <xf borderId="9" fillId="0" fontId="23" numFmtId="0" xfId="0" applyAlignment="1" applyBorder="1" applyFont="1">
      <alignment readingOrder="0" shrinkToFit="0" wrapText="1"/>
    </xf>
    <xf borderId="9" fillId="0" fontId="11" numFmtId="0" xfId="0" applyAlignment="1" applyBorder="1" applyFont="1">
      <alignment readingOrder="0"/>
    </xf>
    <xf borderId="0" fillId="0" fontId="11" numFmtId="166" xfId="0" applyAlignment="1" applyFont="1" applyNumberFormat="1">
      <alignment readingOrder="0"/>
    </xf>
    <xf borderId="9" fillId="0" fontId="11" numFmtId="0" xfId="0" applyBorder="1" applyFont="1"/>
    <xf borderId="9" fillId="0" fontId="10" numFmtId="0" xfId="0" applyAlignment="1" applyBorder="1" applyFont="1">
      <alignment horizontal="right" vertical="bottom"/>
    </xf>
    <xf borderId="9" fillId="0" fontId="5" numFmtId="0" xfId="0" applyBorder="1" applyFont="1"/>
    <xf borderId="0" fillId="13" fontId="11" numFmtId="0" xfId="0" applyAlignment="1" applyFill="1" applyFont="1">
      <alignment readingOrder="0"/>
    </xf>
    <xf borderId="0" fillId="0" fontId="11" numFmtId="0" xfId="0" applyFont="1"/>
    <xf borderId="9" fillId="12" fontId="24" numFmtId="0" xfId="0" applyAlignment="1" applyBorder="1" applyFill="1" applyFont="1">
      <alignment readingOrder="0"/>
    </xf>
    <xf borderId="0" fillId="8" fontId="17" numFmtId="165" xfId="0" applyAlignment="1" applyFill="1" applyFont="1" applyNumberFormat="1">
      <alignment horizontal="right" readingOrder="0" vertical="bottom"/>
    </xf>
    <xf borderId="9" fillId="0" fontId="11" numFmtId="167" xfId="0" applyAlignment="1" applyBorder="1" applyFont="1" applyNumberFormat="1">
      <alignment readingOrder="0"/>
    </xf>
    <xf borderId="9" fillId="0" fontId="11" numFmtId="0" xfId="0" applyBorder="1" applyFont="1"/>
    <xf borderId="9" fillId="0" fontId="11" numFmtId="168" xfId="0" applyAlignment="1" applyBorder="1" applyFont="1" applyNumberFormat="1">
      <alignment readingOrder="0"/>
    </xf>
    <xf borderId="0" fillId="0" fontId="11" numFmtId="165" xfId="0" applyFont="1" applyNumberFormat="1"/>
    <xf borderId="9" fillId="0" fontId="12" numFmtId="0" xfId="0" applyAlignment="1" applyBorder="1" applyFont="1">
      <alignment readingOrder="0"/>
    </xf>
    <xf borderId="0" fillId="10" fontId="25" numFmtId="0" xfId="0" applyAlignment="1" applyFill="1" applyFont="1">
      <alignment readingOrder="0" shrinkToFit="0" wrapText="1"/>
    </xf>
    <xf borderId="0" fillId="8" fontId="26" numFmtId="0" xfId="0" applyFill="1" applyFont="1"/>
    <xf borderId="9" fillId="18" fontId="22" numFmtId="0" xfId="0" applyAlignment="1" applyBorder="1" applyFill="1" applyFont="1">
      <alignment readingOrder="0"/>
    </xf>
    <xf borderId="9" fillId="18" fontId="22" numFmtId="0" xfId="0" applyAlignment="1" applyBorder="1" applyFill="1" applyFont="1">
      <alignment readingOrder="0" shrinkToFit="0" wrapText="1"/>
    </xf>
    <xf borderId="9" fillId="12" fontId="27" numFmtId="3" xfId="0" applyAlignment="1" applyBorder="1" applyFill="1" applyFont="1" applyNumberFormat="1">
      <alignment horizontal="right" readingOrder="0"/>
    </xf>
    <xf borderId="9" fillId="18" fontId="19" numFmtId="0" xfId="0" applyAlignment="1" applyBorder="1" applyFill="1" applyFont="1">
      <alignment readingOrder="0" shrinkToFit="0" wrapText="1"/>
    </xf>
    <xf borderId="9" fillId="0" fontId="19" numFmtId="0" xfId="0" applyAlignment="1" applyBorder="1" applyFont="1">
      <alignment readingOrder="0" shrinkToFit="0" wrapText="1"/>
    </xf>
    <xf borderId="9" fillId="0" fontId="12" numFmtId="0" xfId="0" applyAlignment="1" applyBorder="1" applyFont="1">
      <alignment readingOrder="0" shrinkToFit="0" wrapText="1"/>
    </xf>
    <xf borderId="9" fillId="0" fontId="22" numFmtId="169" xfId="0" applyAlignment="1" applyBorder="1" applyFont="1" applyNumberFormat="1">
      <alignment readingOrder="0"/>
    </xf>
    <xf borderId="9" fillId="0" fontId="28" numFmtId="0" xfId="0" applyAlignment="1" applyBorder="1" applyFont="1">
      <alignment readingOrder="0"/>
    </xf>
    <xf borderId="9" fillId="19" fontId="19" numFmtId="0" xfId="0" applyAlignment="1" applyBorder="1" applyFill="1" applyFont="1">
      <alignment readingOrder="0" shrinkToFit="0" wrapText="1"/>
    </xf>
    <xf borderId="0" fillId="20" fontId="17" numFmtId="0" xfId="0" applyAlignment="1" applyFill="1" applyFont="1">
      <alignment readingOrder="0" shrinkToFit="0" wrapText="1"/>
    </xf>
    <xf borderId="10" fillId="0" fontId="11" numFmtId="0" xfId="0" applyAlignment="1" applyBorder="1" applyFont="1">
      <alignment horizontal="right" readingOrder="0" shrinkToFit="0" vertical="top" wrapText="1"/>
    </xf>
    <xf borderId="9" fillId="0" fontId="29" numFmtId="4" xfId="0" applyAlignment="1" applyBorder="1" applyFont="1" applyNumberFormat="1">
      <alignment readingOrder="0"/>
    </xf>
    <xf borderId="9" fillId="0" fontId="11" numFmtId="0" xfId="0" applyAlignment="1" applyBorder="1" applyFont="1">
      <alignment readingOrder="0" shrinkToFit="0" wrapText="1"/>
    </xf>
    <xf borderId="9" fillId="19" fontId="19" numFmtId="0" xfId="0" applyAlignment="1" applyBorder="1" applyFill="1" applyFont="1">
      <alignment horizontal="left" readingOrder="0"/>
    </xf>
    <xf borderId="9" fillId="0" fontId="11" numFmtId="0" xfId="0" applyAlignment="1" applyBorder="1" applyFont="1">
      <alignment readingOrder="0" shrinkToFit="0" wrapText="1"/>
    </xf>
    <xf borderId="9" fillId="12" fontId="24" numFmtId="3" xfId="0" applyAlignment="1" applyBorder="1" applyFill="1" applyFont="1" applyNumberFormat="1">
      <alignment horizontal="right" readingOrder="0"/>
    </xf>
    <xf borderId="9" fillId="12" fontId="11" numFmtId="0" xfId="0" applyBorder="1" applyFill="1" applyFont="1"/>
    <xf borderId="9" fillId="19" fontId="19" numFmtId="0" xfId="0" applyAlignment="1" applyBorder="1" applyFill="1" applyFont="1">
      <alignment readingOrder="0"/>
    </xf>
    <xf borderId="6" fillId="0" fontId="11" numFmtId="0" xfId="0" applyBorder="1" applyFont="1"/>
    <xf borderId="6" fillId="0" fontId="11" numFmtId="0" xfId="0" applyAlignment="1" applyBorder="1" applyFont="1">
      <alignment readingOrder="0"/>
    </xf>
    <xf borderId="6" fillId="12" fontId="11" numFmtId="0" xfId="0" applyBorder="1" applyFill="1" applyFont="1"/>
    <xf borderId="9" fillId="12" fontId="19" numFmtId="0" xfId="0" applyAlignment="1" applyBorder="1" applyFill="1" applyFont="1">
      <alignment readingOrder="0"/>
    </xf>
    <xf borderId="9" fillId="0" fontId="22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9" fillId="12" fontId="19" numFmtId="0" xfId="0" applyBorder="1" applyFill="1" applyFont="1"/>
    <xf borderId="9" fillId="0" fontId="30" numFmtId="0" xfId="0" applyAlignment="1" applyBorder="1" applyFont="1">
      <alignment readingOrder="0" vertical="top"/>
    </xf>
    <xf borderId="0" fillId="0" fontId="30" numFmtId="0" xfId="0" applyAlignment="1" applyFont="1">
      <alignment vertical="bottom"/>
    </xf>
    <xf borderId="0" fillId="17" fontId="31" numFmtId="0" xfId="0" applyAlignment="1" applyFill="1" applyFont="1">
      <alignment readingOrder="0" vertical="bottom"/>
    </xf>
    <xf borderId="0" fillId="17" fontId="15" numFmtId="0" xfId="0" applyAlignment="1" applyFill="1" applyFont="1">
      <alignment readingOrder="0"/>
    </xf>
    <xf borderId="0" fillId="0" fontId="32" numFmtId="0" xfId="0" applyAlignment="1" applyFont="1">
      <alignment readingOrder="0"/>
    </xf>
    <xf borderId="9" fillId="0" fontId="30" numFmtId="0" xfId="0" applyAlignment="1" applyBorder="1" applyFont="1">
      <alignment vertical="bottom"/>
    </xf>
    <xf borderId="0" fillId="0" fontId="19" numFmtId="0" xfId="0" applyAlignment="1" applyFont="1">
      <alignment readingOrder="0" shrinkToFit="0" wrapText="1"/>
    </xf>
    <xf borderId="0" fillId="0" fontId="33" numFmtId="0" xfId="0" applyAlignment="1" applyFont="1">
      <alignment readingOrder="0"/>
    </xf>
    <xf borderId="10" fillId="0" fontId="34" numFmtId="0" xfId="0" applyAlignment="1" applyBorder="1" applyFont="1">
      <alignment readingOrder="0" vertical="top"/>
    </xf>
    <xf borderId="9" fillId="12" fontId="24" numFmtId="0" xfId="0" applyAlignment="1" applyBorder="1" applyFill="1" applyFont="1">
      <alignment vertical="bottom"/>
    </xf>
    <xf borderId="9" fillId="0" fontId="30" numFmtId="0" xfId="0" applyAlignment="1" applyBorder="1" applyFont="1">
      <alignment vertical="bottom"/>
    </xf>
    <xf borderId="9" fillId="0" fontId="19" numFmtId="0" xfId="0" applyAlignment="1" applyBorder="1" applyFont="1">
      <alignment readingOrder="0"/>
    </xf>
    <xf borderId="9" fillId="0" fontId="30" numFmtId="0" xfId="0" applyAlignment="1" applyBorder="1" applyFont="1">
      <alignment horizontal="right" readingOrder="0" vertical="top"/>
    </xf>
    <xf borderId="0" fillId="12" fontId="19" numFmtId="0" xfId="0" applyFill="1" applyFont="1"/>
    <xf borderId="0" fillId="19" fontId="19" numFmtId="0" xfId="0" applyAlignment="1" applyFill="1" applyFont="1">
      <alignment readingOrder="0"/>
    </xf>
    <xf borderId="0" fillId="12" fontId="15" numFmtId="0" xfId="0" applyAlignment="1" applyFill="1" applyFont="1">
      <alignment readingOrder="0"/>
    </xf>
    <xf borderId="0" fillId="10" fontId="8" numFmtId="0" xfId="0" applyAlignment="1" applyFill="1" applyFont="1">
      <alignment readingOrder="0"/>
    </xf>
    <xf borderId="0" fillId="10" fontId="8" numFmtId="0" xfId="0" applyFill="1" applyFont="1"/>
    <xf borderId="9" fillId="0" fontId="11" numFmtId="14" xfId="0" applyAlignment="1" applyBorder="1" applyFont="1" applyNumberFormat="1">
      <alignment readingOrder="0"/>
    </xf>
    <xf borderId="0" fillId="19" fontId="8" numFmtId="0" xfId="0" applyAlignment="1" applyFill="1" applyFont="1">
      <alignment readingOrder="0"/>
    </xf>
    <xf borderId="0" fillId="10" fontId="8" numFmtId="0" xfId="0" applyAlignment="1" applyFill="1" applyFont="1">
      <alignment readingOrder="0" shrinkToFit="0" wrapText="1"/>
    </xf>
    <xf borderId="9" fillId="12" fontId="35" numFmtId="0" xfId="0" applyAlignment="1" applyBorder="1" applyFill="1" applyFont="1">
      <alignment horizontal="right" readingOrder="0"/>
    </xf>
    <xf borderId="0" fillId="21" fontId="8" numFmtId="0" xfId="0" applyFill="1" applyFont="1"/>
    <xf borderId="9" fillId="22" fontId="36" numFmtId="4" xfId="0" applyAlignment="1" applyBorder="1" applyFill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0" fontId="11" numFmtId="168" xfId="0" applyAlignment="1" applyFont="1" applyNumberFormat="1">
      <alignment readingOrder="0"/>
    </xf>
    <xf borderId="9" fillId="0" fontId="30" numFmtId="170" xfId="0" applyAlignment="1" applyBorder="1" applyFont="1" applyNumberFormat="1">
      <alignment horizontal="right" vertical="bottom"/>
    </xf>
    <xf borderId="0" fillId="0" fontId="25" numFmtId="0" xfId="0" applyAlignment="1" applyFont="1">
      <alignment readingOrder="0" shrinkToFit="0" wrapText="1"/>
    </xf>
    <xf borderId="0" fillId="0" fontId="26" numFmtId="0" xfId="0" applyFont="1"/>
    <xf borderId="9" fillId="22" fontId="36" numFmtId="4" xfId="0" applyAlignment="1" applyBorder="1" applyFill="1" applyFont="1" applyNumberFormat="1">
      <alignment vertical="bottom"/>
    </xf>
    <xf borderId="0" fillId="0" fontId="17" numFmtId="0" xfId="0" applyAlignment="1" applyFont="1">
      <alignment readingOrder="0" shrinkToFit="0" wrapText="1"/>
    </xf>
    <xf borderId="0" fillId="0" fontId="11" numFmtId="169" xfId="0" applyAlignment="1" applyFont="1" applyNumberFormat="1">
      <alignment readingOrder="0"/>
    </xf>
    <xf borderId="0" fillId="0" fontId="11" numFmtId="14" xfId="0" applyAlignment="1" applyFont="1" applyNumberFormat="1">
      <alignment readingOrder="0"/>
    </xf>
    <xf borderId="0" fillId="0" fontId="11" numFmtId="165" xfId="0" applyAlignment="1" applyFont="1" applyNumberFormat="1">
      <alignment readingOrder="0"/>
    </xf>
    <xf borderId="9" fillId="12" fontId="37" numFmtId="0" xfId="0" applyAlignment="1" applyBorder="1" applyFill="1" applyFont="1">
      <alignment horizontal="left" readingOrder="0"/>
    </xf>
    <xf borderId="0" fillId="0" fontId="11" numFmtId="1" xfId="0" applyAlignment="1" applyFont="1" applyNumberFormat="1">
      <alignment readingOrder="0"/>
    </xf>
    <xf borderId="9" fillId="0" fontId="30" numFmtId="14" xfId="0" applyAlignment="1" applyBorder="1" applyFont="1" applyNumberFormat="1">
      <alignment horizontal="right" vertical="bottom"/>
    </xf>
    <xf borderId="9" fillId="12" fontId="24" numFmtId="3" xfId="0" applyAlignment="1" applyBorder="1" applyFill="1" applyFont="1" applyNumberFormat="1">
      <alignment horizontal="right" readingOrder="0" vertical="bottom"/>
    </xf>
    <xf borderId="9" fillId="12" fontId="35" numFmtId="0" xfId="0" applyAlignment="1" applyBorder="1" applyFill="1" applyFont="1">
      <alignment horizontal="right" vertical="bottom"/>
    </xf>
    <xf borderId="9" fillId="0" fontId="30" numFmtId="0" xfId="0" applyAlignment="1" applyBorder="1" applyFont="1">
      <alignment readingOrder="0" vertical="bottom"/>
    </xf>
    <xf borderId="0" fillId="0" fontId="11" numFmtId="0" xfId="0" applyFont="1"/>
    <xf borderId="0" fillId="0" fontId="11" numFmtId="0" xfId="0" applyAlignment="1" applyFont="1">
      <alignment horizontal="left"/>
    </xf>
    <xf borderId="0" fillId="0" fontId="11" numFmtId="0" xfId="0" applyAlignment="1" applyFont="1">
      <alignment horizontal="left" readingOrder="0"/>
    </xf>
    <xf borderId="9" fillId="12" fontId="38" numFmtId="0" xfId="0" applyAlignment="1" applyBorder="1" applyFill="1" applyFont="1">
      <alignment horizontal="right" readingOrder="0"/>
    </xf>
    <xf borderId="9" fillId="12" fontId="37" numFmtId="0" xfId="0" applyAlignment="1" applyBorder="1" applyFill="1" applyFont="1">
      <alignment vertical="bottom"/>
    </xf>
    <xf borderId="9" fillId="12" fontId="39" numFmtId="0" xfId="0" applyAlignment="1" applyBorder="1" applyFill="1" applyFont="1">
      <alignment readingOrder="0"/>
    </xf>
    <xf borderId="9" fillId="12" fontId="38" numFmtId="0" xfId="0" applyAlignment="1" applyBorder="1" applyFill="1" applyFont="1">
      <alignment horizontal="right" vertical="bottom"/>
    </xf>
    <xf borderId="9" fillId="0" fontId="11" numFmtId="170" xfId="0" applyAlignment="1" applyBorder="1" applyFont="1" applyNumberFormat="1">
      <alignment readingOrder="0"/>
    </xf>
    <xf borderId="0" fillId="12" fontId="35" numFmtId="4" xfId="0" applyAlignment="1" applyFill="1" applyFont="1" applyNumberFormat="1">
      <alignment horizontal="right" readingOrder="0"/>
    </xf>
    <xf borderId="9" fillId="12" fontId="39" numFmtId="0" xfId="0" applyAlignment="1" applyBorder="1" applyFill="1" applyFont="1">
      <alignment horizontal="right" vertical="bottom"/>
    </xf>
    <xf borderId="0" fillId="12" fontId="35" numFmtId="165" xfId="0" applyAlignment="1" applyFill="1" applyFont="1" applyNumberFormat="1">
      <alignment horizontal="right" readingOrder="0"/>
    </xf>
    <xf borderId="9" fillId="0" fontId="11" numFmtId="171" xfId="0" applyAlignment="1" applyBorder="1" applyFont="1" applyNumberFormat="1">
      <alignment readingOrder="0"/>
    </xf>
    <xf borderId="0" fillId="12" fontId="40" numFmtId="165" xfId="0" applyAlignment="1" applyFill="1" applyFont="1" applyNumberFormat="1">
      <alignment horizontal="left" readingOrder="0"/>
    </xf>
    <xf borderId="9" fillId="0" fontId="11" numFmtId="172" xfId="0" applyAlignment="1" applyBorder="1" applyFont="1" applyNumberFormat="1">
      <alignment readingOrder="0"/>
    </xf>
    <xf borderId="0" fillId="12" fontId="41" numFmtId="0" xfId="0" applyAlignment="1" applyFill="1" applyFont="1">
      <alignment horizontal="right" readingOrder="0"/>
    </xf>
    <xf borderId="0" fillId="4" fontId="8" numFmtId="0" xfId="0" applyAlignment="1" applyFill="1" applyFont="1">
      <alignment readingOrder="0"/>
    </xf>
    <xf borderId="0" fillId="4" fontId="8" numFmtId="0" xfId="0" applyFill="1" applyFont="1"/>
    <xf borderId="0" fillId="4" fontId="42" numFmtId="0" xfId="0" applyAlignment="1" applyFill="1" applyFont="1">
      <alignment readingOrder="0" vertical="bottom"/>
    </xf>
    <xf borderId="0" fillId="4" fontId="42" numFmtId="0" xfId="0" applyAlignment="1" applyFill="1" applyFont="1">
      <alignment vertical="bottom"/>
    </xf>
    <xf borderId="0" fillId="0" fontId="43" numFmtId="0" xfId="0" applyAlignment="1" applyFont="1">
      <alignment vertical="bottom"/>
    </xf>
    <xf borderId="0" fillId="0" fontId="30" numFmtId="0" xfId="0" applyAlignment="1" applyFont="1">
      <alignment horizontal="right" vertical="bottom"/>
    </xf>
    <xf borderId="2" fillId="3" fontId="6" numFmtId="164" xfId="0" applyAlignment="1" applyBorder="1" applyFill="1" applyFont="1" applyNumberFormat="1">
      <alignment horizontal="left" readingOrder="0" shrinkToFit="0" textRotation="0" wrapText="0"/>
    </xf>
    <xf borderId="6" fillId="2" fontId="6" numFmtId="0" xfId="0" applyAlignment="1" applyBorder="1" applyFill="1" applyFont="1">
      <alignment horizontal="center" readingOrder="0"/>
    </xf>
    <xf borderId="6" fillId="2" fontId="6" numFmtId="0" xfId="0" applyAlignment="1" applyBorder="1" applyFill="1" applyFont="1">
      <alignment horizontal="center"/>
    </xf>
    <xf borderId="0" fillId="3" fontId="6" numFmtId="164" xfId="0" applyAlignment="1" applyFill="1" applyFont="1" applyNumberFormat="1">
      <alignment horizontal="center" readingOrder="0" shrinkToFit="0" textRotation="0" wrapText="0"/>
    </xf>
    <xf borderId="0" fillId="2" fontId="6" numFmtId="0" xfId="0" applyAlignment="1" applyFill="1" applyFont="1">
      <alignment horizontal="center"/>
    </xf>
    <xf borderId="0" fillId="2" fontId="6" numFmtId="0" xfId="0" applyAlignment="1" applyFill="1" applyFont="1">
      <alignment horizontal="center" readingOrder="0"/>
    </xf>
    <xf borderId="9" fillId="20" fontId="10" numFmtId="0" xfId="0" applyAlignment="1" applyBorder="1" applyFill="1" applyFont="1">
      <alignment horizontal="right" readingOrder="0" vertical="bottom"/>
    </xf>
    <xf borderId="0" fillId="20" fontId="19" numFmtId="0" xfId="0" applyAlignment="1" applyFill="1" applyFont="1">
      <alignment readingOrder="0"/>
    </xf>
    <xf borderId="0" fillId="20" fontId="44" numFmtId="0" xfId="0" applyAlignment="1" applyFill="1" applyFont="1">
      <alignment readingOrder="0"/>
    </xf>
    <xf borderId="10" fillId="0" fontId="11" numFmtId="165" xfId="0" applyAlignment="1" applyBorder="1" applyFont="1" applyNumberFormat="1">
      <alignment readingOrder="0" vertical="top"/>
    </xf>
    <xf borderId="0" fillId="20" fontId="11" numFmtId="0" xfId="0" applyAlignment="1" applyFill="1" applyFont="1">
      <alignment readingOrder="0"/>
    </xf>
    <xf borderId="11" fillId="0" fontId="11" numFmtId="165" xfId="0" applyAlignment="1" applyBorder="1" applyFont="1" applyNumberFormat="1">
      <alignment readingOrder="0" vertical="top"/>
    </xf>
    <xf borderId="12" fillId="0" fontId="11" numFmtId="165" xfId="0" applyAlignment="1" applyBorder="1" applyFont="1" applyNumberFormat="1">
      <alignment readingOrder="0" vertical="top"/>
    </xf>
    <xf borderId="0" fillId="10" fontId="9" numFmtId="0" xfId="0" applyFill="1" applyFont="1"/>
    <xf borderId="9" fillId="14" fontId="45" numFmtId="0" xfId="0" applyAlignment="1" applyBorder="1" applyFill="1" applyFont="1">
      <alignment readingOrder="0"/>
    </xf>
    <xf borderId="13" fillId="12" fontId="11" numFmtId="0" xfId="0" applyAlignment="1" applyBorder="1" applyFill="1" applyFont="1">
      <alignment readingOrder="0"/>
    </xf>
    <xf borderId="14" fillId="20" fontId="19" numFmtId="0" xfId="0" applyAlignment="1" applyBorder="1" applyFill="1" applyFont="1">
      <alignment readingOrder="0" shrinkToFit="0" wrapText="1"/>
    </xf>
    <xf borderId="15" fillId="14" fontId="6" numFmtId="0" xfId="0" applyAlignment="1" applyBorder="1" applyFill="1" applyFont="1">
      <alignment readingOrder="0"/>
    </xf>
    <xf borderId="16" fillId="14" fontId="6" numFmtId="0" xfId="0" applyAlignment="1" applyBorder="1" applyFill="1" applyFont="1">
      <alignment readingOrder="0"/>
    </xf>
    <xf borderId="16" fillId="14" fontId="7" numFmtId="0" xfId="0" applyAlignment="1" applyBorder="1" applyFill="1" applyFont="1">
      <alignment readingOrder="0"/>
    </xf>
    <xf borderId="8" fillId="14" fontId="6" numFmtId="0" xfId="0" applyAlignment="1" applyBorder="1" applyFill="1" applyFont="1">
      <alignment readingOrder="0"/>
    </xf>
    <xf borderId="0" fillId="9" fontId="15" numFmtId="0" xfId="0" applyAlignment="1" applyFill="1" applyFont="1">
      <alignment readingOrder="0"/>
    </xf>
    <xf borderId="0" fillId="0" fontId="11" numFmtId="0" xfId="0" applyAlignment="1" applyFont="1">
      <alignment readingOrder="0" shrinkToFit="0" textRotation="0" vertical="top" wrapText="1"/>
    </xf>
    <xf borderId="0" fillId="23" fontId="11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0" fillId="20" fontId="19" numFmtId="0" xfId="0" applyAlignment="1" applyFill="1" applyFont="1">
      <alignment readingOrder="0" shrinkToFit="0" vertical="top" wrapText="1"/>
    </xf>
    <xf borderId="0" fillId="20" fontId="19" numFmtId="0" xfId="0" applyAlignment="1" applyFill="1" applyFont="1">
      <alignment readingOrder="0" shrinkToFit="0" textRotation="0" vertical="top" wrapText="1"/>
    </xf>
    <xf borderId="0" fillId="20" fontId="19" numFmtId="0" xfId="0" applyAlignment="1" applyFill="1" applyFont="1">
      <alignment readingOrder="0" shrinkToFit="0" wrapText="1"/>
    </xf>
    <xf borderId="14" fillId="20" fontId="11" numFmtId="0" xfId="0" applyAlignment="1" applyBorder="1" applyFill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30" numFmtId="0" xfId="0" applyAlignment="1" applyFont="1">
      <alignment horizontal="right" readingOrder="0" vertical="bottom"/>
    </xf>
    <xf borderId="0" fillId="12" fontId="19" numFmtId="0" xfId="0" applyAlignment="1" applyFill="1" applyFont="1">
      <alignment readingOrder="0" shrinkToFit="0" vertical="top" wrapText="1"/>
    </xf>
    <xf borderId="13" fillId="12" fontId="11" numFmtId="0" xfId="0" applyBorder="1" applyFill="1" applyFont="1"/>
    <xf borderId="14" fillId="12" fontId="11" numFmtId="0" xfId="0" applyBorder="1" applyFill="1" applyFont="1"/>
    <xf borderId="0" fillId="23" fontId="19" numFmtId="0" xfId="0" applyAlignment="1" applyFill="1" applyFont="1">
      <alignment readingOrder="0" shrinkToFit="0" vertical="top" wrapText="1"/>
    </xf>
    <xf borderId="8" fillId="14" fontId="6" numFmtId="0" xfId="0" applyAlignment="1" applyBorder="1" applyFill="1" applyFont="1">
      <alignment readingOrder="0" shrinkToFit="0" wrapText="1"/>
    </xf>
    <xf borderId="0" fillId="0" fontId="30" numFmtId="0" xfId="0" applyAlignment="1" applyFont="1">
      <alignment horizontal="right" vertical="bottom"/>
    </xf>
    <xf borderId="0" fillId="20" fontId="11" numFmtId="0" xfId="0" applyAlignment="1" applyFill="1" applyFont="1">
      <alignment readingOrder="0" shrinkToFit="0" textRotation="0" vertical="top" wrapText="1"/>
    </xf>
    <xf borderId="10" fillId="9" fontId="19" numFmtId="0" xfId="0" applyAlignment="1" applyBorder="1" applyFill="1" applyFont="1">
      <alignment readingOrder="0" vertical="top"/>
    </xf>
    <xf borderId="10" fillId="9" fontId="19" numFmtId="0" xfId="0" applyAlignment="1" applyBorder="1" applyFill="1" applyFont="1">
      <alignment readingOrder="0" shrinkToFit="0" vertical="top" wrapText="1"/>
    </xf>
    <xf borderId="9" fillId="20" fontId="19" numFmtId="0" xfId="0" applyAlignment="1" applyBorder="1" applyFill="1" applyFont="1">
      <alignment readingOrder="0"/>
    </xf>
    <xf borderId="10" fillId="0" fontId="19" numFmtId="0" xfId="0" applyAlignment="1" applyBorder="1" applyFont="1">
      <alignment readingOrder="0" vertical="top"/>
    </xf>
    <xf borderId="10" fillId="0" fontId="11" numFmtId="0" xfId="0" applyAlignment="1" applyBorder="1" applyFont="1">
      <alignment readingOrder="0" shrinkToFit="0" vertical="top" wrapText="1"/>
    </xf>
    <xf borderId="0" fillId="16" fontId="11" numFmtId="0" xfId="0" applyAlignment="1" applyFill="1" applyFont="1">
      <alignment readingOrder="0" shrinkToFit="0" vertical="top" wrapText="1"/>
    </xf>
    <xf borderId="0" fillId="12" fontId="44" numFmtId="0" xfId="0" applyAlignment="1" applyFill="1" applyFont="1">
      <alignment readingOrder="0" shrinkToFit="0" wrapText="1"/>
    </xf>
    <xf borderId="10" fillId="0" fontId="11" numFmtId="1" xfId="0" applyAlignment="1" applyBorder="1" applyFont="1" applyNumberFormat="1">
      <alignment readingOrder="0" vertical="top"/>
    </xf>
    <xf borderId="10" fillId="0" fontId="11" numFmtId="169" xfId="0" applyAlignment="1" applyBorder="1" applyFont="1" applyNumberFormat="1">
      <alignment readingOrder="0" vertical="top"/>
    </xf>
    <xf borderId="10" fillId="0" fontId="11" numFmtId="0" xfId="0" applyAlignment="1" applyBorder="1" applyFont="1">
      <alignment readingOrder="0" shrinkToFit="0" vertical="top" wrapText="0"/>
    </xf>
    <xf borderId="0" fillId="12" fontId="6" numFmtId="0" xfId="0" applyAlignment="1" applyFill="1" applyFont="1">
      <alignment horizontal="right" readingOrder="0" vertical="bottom"/>
    </xf>
    <xf borderId="10" fillId="0" fontId="11" numFmtId="0" xfId="0" applyAlignment="1" applyBorder="1" applyFont="1">
      <alignment readingOrder="0" vertical="top"/>
    </xf>
    <xf borderId="10" fillId="0" fontId="11" numFmtId="0" xfId="0" applyAlignment="1" applyBorder="1" applyFont="1">
      <alignment readingOrder="0" shrinkToFit="0" textRotation="0" vertical="top" wrapText="1"/>
    </xf>
    <xf borderId="0" fillId="12" fontId="6" numFmtId="14" xfId="0" applyAlignment="1" applyFill="1" applyFont="1" applyNumberFormat="1">
      <alignment horizontal="right" readingOrder="0" vertical="bottom"/>
    </xf>
    <xf borderId="0" fillId="0" fontId="11" numFmtId="0" xfId="0" applyAlignment="1" applyFont="1">
      <alignment readingOrder="0" shrinkToFit="0" wrapText="1"/>
    </xf>
    <xf borderId="10" fillId="0" fontId="30" numFmtId="169" xfId="0" applyAlignment="1" applyBorder="1" applyFont="1" applyNumberFormat="1">
      <alignment readingOrder="0" vertical="top"/>
    </xf>
    <xf borderId="10" fillId="0" fontId="30" numFmtId="0" xfId="0" applyAlignment="1" applyBorder="1" applyFont="1">
      <alignment readingOrder="0" vertical="top"/>
    </xf>
    <xf borderId="10" fillId="13" fontId="34" numFmtId="0" xfId="0" applyAlignment="1" applyBorder="1" applyFill="1" applyFont="1">
      <alignment readingOrder="0" vertical="top"/>
    </xf>
    <xf borderId="10" fillId="13" fontId="34" numFmtId="169" xfId="0" applyAlignment="1" applyBorder="1" applyFill="1" applyFont="1" applyNumberFormat="1">
      <alignment readingOrder="0" vertical="top"/>
    </xf>
    <xf borderId="0" fillId="10" fontId="15" numFmtId="0" xfId="0" applyAlignment="1" applyFill="1" applyFont="1">
      <alignment readingOrder="0"/>
    </xf>
    <xf borderId="0" fillId="10" fontId="15" numFmtId="0" xfId="0" applyFill="1" applyFont="1"/>
    <xf borderId="0" fillId="18" fontId="22" numFmtId="0" xfId="0" applyAlignment="1" applyFill="1" applyFont="1">
      <alignment readingOrder="0"/>
    </xf>
    <xf borderId="0" fillId="0" fontId="30" numFmtId="0" xfId="0" applyAlignment="1" applyFont="1">
      <alignment vertical="top"/>
    </xf>
    <xf borderId="0" fillId="17" fontId="25" numFmtId="0" xfId="0" applyAlignment="1" applyFill="1" applyFont="1">
      <alignment readingOrder="0"/>
    </xf>
    <xf borderId="0" fillId="17" fontId="11" numFmtId="0" xfId="0" applyFill="1" applyFont="1"/>
    <xf borderId="0" fillId="0" fontId="6" numFmtId="14" xfId="0" applyAlignment="1" applyFont="1" applyNumberFormat="1">
      <alignment horizontal="right" vertical="bottom"/>
    </xf>
    <xf borderId="0" fillId="10" fontId="19" numFmtId="0" xfId="0" applyAlignment="1" applyFill="1" applyFont="1">
      <alignment readingOrder="0" shrinkToFit="0" wrapText="1"/>
    </xf>
    <xf borderId="0" fillId="12" fontId="9" numFmtId="0" xfId="0" applyAlignment="1" applyFill="1" applyFont="1">
      <alignment horizontal="right" readingOrder="0" vertical="bottom"/>
    </xf>
    <xf borderId="13" fillId="12" fontId="46" numFmtId="0" xfId="0" applyAlignment="1" applyBorder="1" applyFill="1" applyFont="1">
      <alignment readingOrder="0"/>
    </xf>
    <xf borderId="0" fillId="12" fontId="47" numFmtId="0" xfId="0" applyAlignment="1" applyFill="1" applyFont="1">
      <alignment readingOrder="0"/>
    </xf>
    <xf borderId="0" fillId="0" fontId="46" numFmtId="165" xfId="0" applyAlignment="1" applyFont="1" applyNumberFormat="1">
      <alignment readingOrder="0"/>
    </xf>
    <xf borderId="0" fillId="12" fontId="46" numFmtId="0" xfId="0" applyAlignment="1" applyFill="1" applyFont="1">
      <alignment readingOrder="0"/>
    </xf>
    <xf borderId="14" fillId="12" fontId="48" numFmtId="0" xfId="0" applyAlignment="1" applyBorder="1" applyFill="1" applyFont="1">
      <alignment readingOrder="0"/>
    </xf>
    <xf borderId="0" fillId="0" fontId="22" numFmtId="0" xfId="0" applyAlignment="1" applyFont="1">
      <alignment readingOrder="0"/>
    </xf>
    <xf borderId="0" fillId="0" fontId="19" numFmtId="0" xfId="0" applyFont="1"/>
    <xf borderId="0" fillId="12" fontId="15" numFmtId="4" xfId="0" applyAlignment="1" applyFill="1" applyFont="1" applyNumberFormat="1">
      <alignment readingOrder="0"/>
    </xf>
    <xf borderId="0" fillId="0" fontId="49" numFmtId="0" xfId="0" applyAlignment="1" applyFont="1">
      <alignment vertical="bottom"/>
    </xf>
    <xf borderId="10" fillId="0" fontId="30" numFmtId="173" xfId="0" applyAlignment="1" applyBorder="1" applyFont="1" applyNumberFormat="1">
      <alignment readingOrder="0" vertical="top"/>
    </xf>
    <xf borderId="9" fillId="0" fontId="6" numFmtId="14" xfId="0" applyAlignment="1" applyBorder="1" applyFont="1" applyNumberFormat="1">
      <alignment horizontal="right" vertical="bottom"/>
    </xf>
    <xf borderId="9" fillId="0" fontId="10" numFmtId="0" xfId="0" applyAlignment="1" applyBorder="1" applyFont="1">
      <alignment horizontal="right" vertical="bottom"/>
    </xf>
    <xf borderId="1" fillId="0" fontId="10" numFmtId="0" xfId="0" applyAlignment="1" applyBorder="1" applyFont="1">
      <alignment horizontal="right" vertical="bottom"/>
    </xf>
    <xf borderId="9" fillId="24" fontId="10" numFmtId="0" xfId="0" applyAlignment="1" applyBorder="1" applyFill="1" applyFont="1">
      <alignment horizontal="right" vertical="bottom"/>
    </xf>
    <xf borderId="9" fillId="20" fontId="10" numFmtId="0" xfId="0" applyAlignment="1" applyBorder="1" applyFill="1" applyFont="1">
      <alignment horizontal="right" vertical="bottom"/>
    </xf>
    <xf borderId="9" fillId="0" fontId="10" numFmtId="0" xfId="0" applyAlignment="1" applyBorder="1" applyFont="1">
      <alignment readingOrder="0" vertical="bottom"/>
    </xf>
    <xf borderId="9" fillId="0" fontId="10" numFmtId="0" xfId="0" applyAlignment="1" applyBorder="1" applyFont="1">
      <alignment vertical="bottom"/>
    </xf>
    <xf borderId="0" fillId="20" fontId="11" numFmtId="0" xfId="0" applyAlignment="1" applyFill="1" applyFont="1">
      <alignment readingOrder="0" shrinkToFit="0" wrapText="1"/>
    </xf>
    <xf borderId="0" fillId="12" fontId="5" numFmtId="0" xfId="0" applyFill="1" applyFont="1"/>
    <xf borderId="9" fillId="25" fontId="19" numFmtId="0" xfId="0" applyAlignment="1" applyBorder="1" applyFill="1" applyFont="1">
      <alignment readingOrder="0"/>
    </xf>
    <xf borderId="9" fillId="14" fontId="45" numFmtId="0" xfId="0" applyAlignment="1" applyBorder="1" applyFill="1" applyFont="1">
      <alignment readingOrder="0" shrinkToFit="0" wrapText="1"/>
    </xf>
    <xf borderId="9" fillId="0" fontId="8" numFmtId="0" xfId="0" applyAlignment="1" applyBorder="1" applyFont="1">
      <alignment readingOrder="0"/>
    </xf>
    <xf borderId="0" fillId="10" fontId="16" numFmtId="0" xfId="0" applyAlignment="1" applyFill="1" applyFont="1">
      <alignment readingOrder="0"/>
    </xf>
    <xf borderId="16" fillId="14" fontId="6" numFmtId="0" xfId="0" applyAlignment="1" applyBorder="1" applyFill="1" applyFont="1">
      <alignment readingOrder="0" shrinkToFit="0" wrapText="1"/>
    </xf>
    <xf borderId="0" fillId="20" fontId="15" numFmtId="0" xfId="0" applyAlignment="1" applyFill="1" applyFont="1">
      <alignment readingOrder="0" shrinkToFit="0" wrapText="1"/>
    </xf>
    <xf borderId="0" fillId="8" fontId="19" numFmtId="0" xfId="0" applyAlignment="1" applyFill="1" applyFont="1">
      <alignment readingOrder="0" shrinkToFit="0" vertical="top" wrapText="1"/>
    </xf>
    <xf borderId="0" fillId="8" fontId="19" numFmtId="0" xfId="0" applyAlignment="1" applyFill="1" applyFont="1">
      <alignment readingOrder="0" shrinkToFit="0" wrapText="1"/>
    </xf>
    <xf borderId="0" fillId="8" fontId="19" numFmtId="0" xfId="0" applyAlignment="1" applyFill="1" applyFont="1">
      <alignment readingOrder="0" shrinkToFit="0" textRotation="0" vertical="top" wrapText="1"/>
    </xf>
    <xf borderId="0" fillId="0" fontId="11" numFmtId="0" xfId="0" applyAlignment="1" applyFont="1">
      <alignment shrinkToFit="0" wrapText="1"/>
    </xf>
    <xf borderId="0" fillId="18" fontId="19" numFmtId="0" xfId="0" applyAlignment="1" applyFill="1" applyFont="1">
      <alignment readingOrder="0" shrinkToFit="0" wrapText="1"/>
    </xf>
    <xf borderId="9" fillId="26" fontId="15" numFmtId="0" xfId="0" applyAlignment="1" applyBorder="1" applyFill="1" applyFont="1">
      <alignment readingOrder="0"/>
    </xf>
    <xf borderId="0" fillId="0" fontId="50" numFmtId="0" xfId="0" applyAlignment="1" applyFont="1">
      <alignment readingOrder="0" shrinkToFit="0" wrapText="1"/>
    </xf>
    <xf borderId="9" fillId="0" fontId="15" numFmtId="0" xfId="0" applyAlignment="1" applyBorder="1" applyFont="1">
      <alignment readingOrder="0"/>
    </xf>
    <xf borderId="9" fillId="0" fontId="11" numFmtId="169" xfId="0" applyAlignment="1" applyBorder="1" applyFont="1" applyNumberFormat="1">
      <alignment readingOrder="0"/>
    </xf>
    <xf borderId="9" fillId="0" fontId="15" numFmtId="165" xfId="0" applyAlignment="1" applyBorder="1" applyFont="1" applyNumberFormat="1">
      <alignment readingOrder="0"/>
    </xf>
    <xf borderId="9" fillId="0" fontId="25" numFmtId="0" xfId="0" applyAlignment="1" applyBorder="1" applyFont="1">
      <alignment readingOrder="0"/>
    </xf>
    <xf borderId="0" fillId="0" fontId="11" numFmtId="165" xfId="0" applyAlignment="1" applyFont="1" applyNumberFormat="1">
      <alignment readingOrder="0" shrinkToFit="0" wrapText="1"/>
    </xf>
    <xf borderId="9" fillId="27" fontId="11" numFmtId="174" xfId="0" applyAlignment="1" applyBorder="1" applyFill="1" applyFont="1" applyNumberFormat="1">
      <alignment readingOrder="0"/>
    </xf>
    <xf borderId="9" fillId="27" fontId="11" numFmtId="0" xfId="0" applyAlignment="1" applyBorder="1" applyFill="1" applyFont="1">
      <alignment readingOrder="0"/>
    </xf>
    <xf borderId="9" fillId="27" fontId="11" numFmtId="165" xfId="0" applyAlignment="1" applyBorder="1" applyFill="1" applyFont="1" applyNumberFormat="1">
      <alignment readingOrder="0"/>
    </xf>
    <xf borderId="9" fillId="27" fontId="11" numFmtId="0" xfId="0" applyAlignment="1" applyBorder="1" applyFill="1" applyFont="1">
      <alignment readingOrder="0" shrinkToFit="0" wrapText="1"/>
    </xf>
    <xf borderId="0" fillId="0" fontId="22" numFmtId="0" xfId="0" applyAlignment="1" applyFont="1">
      <alignment readingOrder="0" shrinkToFit="0" wrapText="1"/>
    </xf>
    <xf borderId="0" fillId="0" fontId="5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d ismail Hossain" id="{f0d0f50e-5a2f-4d1f-a2f0-bd59023295a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03T15:45:27.00" personId="{f0d0f50e-5a2f-4d1f-a2f0-bd59023295a1}" id="{9852f2cf-ade6-4105-9cb5-3a221a82bd60}" done="0">
    <x18tc:text xml:space="preserve">changed with Sam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0" dT="2026-06-20T01:21:33.00" personId="{f0d0f50e-5a2f-4d1f-a2f0-bd59023295a1}" id="{d3eb6c33-6881-40bf-aeb8-bf16d36b8cec}" done="0">
    <x18tc:text xml:space="preserve">986+100+</x18tc:text>
  </x18tc:threadedComment>
  <x18tc:threadedComment ref="E46" dT="2026-06-20T01:20:28.00" personId="{f0d0f50e-5a2f-4d1f-a2f0-bd59023295a1}" id="{52d8faf0-ff24-4b50-9d50-63fa0926620c}" done="0">
    <x18tc:text xml:space="preserve">900 paid</x18tc:text>
  </x18tc:threadedComment>
  <x18tc:threadedComment ref="E47" dT="2026-06-20T01:20:56.00" personId="{f0d0f50e-5a2f-4d1f-a2f0-bd59023295a1}" id="{262f615f-3a6f-463b-ac4e-6d76db070642}" done="0">
    <x18tc:text xml:space="preserve">1000+1000+1654</x18tc:text>
  </x18tc:threadedComment>
  <x18tc:threadedComment ref="E48" dT="2026-06-20T01:21:17.00" personId="{f0d0f50e-5a2f-4d1f-a2f0-bd59023295a1}" id="{691a8dc8-e453-4d46-bdf5-be51e0d94435}" done="0">
    <x18tc:text xml:space="preserve">1530+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honelcdparts.com/sales/order/view/order_id/1304668" TargetMode="External"/><Relationship Id="rId2" Type="http://schemas.openxmlformats.org/officeDocument/2006/relationships/hyperlink" Target="https://www.phonelcdparts.com/sales/order/view/order_id/1319033" TargetMode="External"/><Relationship Id="rId3" Type="http://schemas.openxmlformats.org/officeDocument/2006/relationships/hyperlink" Target="https://www.phonelcdparts.com/sales/order/view/order_id/1331884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63"/>
    <col customWidth="1" min="2" max="2" width="12.5"/>
    <col customWidth="1" min="3" max="3" width="13.63"/>
    <col customWidth="1" min="4" max="4" width="11.38"/>
    <col customWidth="1" min="5" max="5" width="11.13"/>
    <col customWidth="1" min="6" max="6" width="11.88"/>
    <col customWidth="1" min="7" max="7" width="11.13"/>
    <col customWidth="1" min="8" max="8" width="20.63"/>
    <col customWidth="1" min="9" max="9" width="12.88"/>
    <col customWidth="1" min="10" max="10" width="12.5"/>
    <col customWidth="1" min="11" max="12" width="10.88"/>
    <col customWidth="1" min="13" max="13" width="11.25"/>
    <col customWidth="1" min="14" max="14" width="11.63"/>
    <col customWidth="1" min="15" max="15" width="16.38"/>
    <col customWidth="1" min="16" max="16" width="11.25"/>
    <col customWidth="1" min="17" max="17" width="13.5"/>
    <col customWidth="1" min="18" max="18" width="10.5"/>
    <col customWidth="1" min="19" max="20" width="10.88"/>
    <col customWidth="1" min="21" max="21" width="9.13"/>
    <col customWidth="1" min="22" max="22" width="8.25"/>
    <col customWidth="1" min="23" max="23" width="16.13"/>
    <col customWidth="1" min="26" max="26" width="48.63"/>
  </cols>
  <sheetData>
    <row r="1">
      <c r="A1" s="1" t="s">
        <v>0</v>
      </c>
      <c r="B1" s="3" t="s">
        <v>1</v>
      </c>
      <c r="C1" s="5" t="s">
        <v>2</v>
      </c>
      <c r="D1" s="4"/>
      <c r="E1" s="6"/>
      <c r="F1" s="8" t="s">
        <v>3</v>
      </c>
      <c r="G1" s="4"/>
      <c r="H1" s="6"/>
      <c r="I1" s="9" t="s">
        <v>4</v>
      </c>
      <c r="J1" s="4"/>
      <c r="K1" s="6"/>
      <c r="L1" s="10" t="s">
        <v>5</v>
      </c>
      <c r="M1" s="4"/>
      <c r="N1" s="6"/>
      <c r="O1" s="12" t="s">
        <v>6</v>
      </c>
      <c r="P1" s="14"/>
      <c r="Q1" s="14"/>
      <c r="R1" s="14" t="s">
        <v>7</v>
      </c>
    </row>
    <row r="2">
      <c r="A2" s="16"/>
      <c r="B2" s="17"/>
      <c r="C2" s="18" t="s">
        <v>8</v>
      </c>
      <c r="D2" s="18" t="s">
        <v>9</v>
      </c>
      <c r="E2" s="18" t="s">
        <v>10</v>
      </c>
      <c r="F2" s="20" t="s">
        <v>8</v>
      </c>
      <c r="G2" s="20" t="s">
        <v>9</v>
      </c>
      <c r="H2" s="20" t="s">
        <v>10</v>
      </c>
      <c r="I2" s="22" t="s">
        <v>8</v>
      </c>
      <c r="J2" s="22" t="s">
        <v>9</v>
      </c>
      <c r="K2" s="22" t="s">
        <v>10</v>
      </c>
      <c r="L2" s="23" t="s">
        <v>8</v>
      </c>
      <c r="M2" s="23" t="s">
        <v>9</v>
      </c>
      <c r="N2" s="23" t="s">
        <v>10</v>
      </c>
      <c r="O2" s="16"/>
      <c r="P2" s="25"/>
      <c r="Q2" s="25"/>
      <c r="R2" s="25" t="s">
        <v>11</v>
      </c>
      <c r="S2" s="25" t="s">
        <v>3</v>
      </c>
      <c r="T2" s="25" t="s">
        <v>4</v>
      </c>
      <c r="U2" s="25" t="s">
        <v>5</v>
      </c>
      <c r="V2" s="25" t="s">
        <v>12</v>
      </c>
    </row>
    <row r="3">
      <c r="A3" s="34" t="str">
        <f t="shared" ref="A3:A33" si="1">text(B3,"dddd")</f>
        <v>Saturday</v>
      </c>
      <c r="B3" s="31">
        <v>46235.0</v>
      </c>
      <c r="C3" s="33">
        <v>112.06</v>
      </c>
      <c r="D3" s="33">
        <v>1013.4</v>
      </c>
      <c r="E3" s="35">
        <f t="shared" ref="E3:E33" si="2">sum(C3:D3)</f>
        <v>1125.46</v>
      </c>
      <c r="F3" s="33">
        <v>497.49</v>
      </c>
      <c r="G3" s="33">
        <v>397.31</v>
      </c>
      <c r="H3" s="35">
        <f t="shared" ref="H3:H33" si="3">sum(F3:G3)</f>
        <v>894.8</v>
      </c>
      <c r="I3" s="33">
        <v>321.65</v>
      </c>
      <c r="J3" s="33">
        <v>719.9</v>
      </c>
      <c r="K3" s="35">
        <f t="shared" ref="K3:K33" si="4">sum(I3:J3)</f>
        <v>1041.55</v>
      </c>
      <c r="L3" s="33">
        <v>194.85</v>
      </c>
      <c r="M3" s="33">
        <v>530.46</v>
      </c>
      <c r="N3" s="35">
        <f t="shared" ref="N3:N33" si="5">sum(L3:M3)</f>
        <v>725.31</v>
      </c>
      <c r="O3" s="38">
        <f t="shared" ref="O3:O33" si="6">SUM(E3+H3+K3+N3)</f>
        <v>3787.12</v>
      </c>
      <c r="P3" s="34" t="str">
        <f t="shared" ref="P3:P33" si="7">text(Q3,"dddd")</f>
        <v>Saturday</v>
      </c>
      <c r="Q3" s="31">
        <v>46235.0</v>
      </c>
      <c r="R3" s="41" t="s">
        <v>28</v>
      </c>
      <c r="S3" s="42" t="s">
        <v>29</v>
      </c>
      <c r="T3" s="42" t="s">
        <v>19</v>
      </c>
      <c r="U3" s="42" t="s">
        <v>18</v>
      </c>
      <c r="V3" s="43">
        <v>11.0</v>
      </c>
      <c r="Y3" s="44">
        <v>1.0</v>
      </c>
      <c r="Z3" s="44" t="s">
        <v>23</v>
      </c>
    </row>
    <row r="4">
      <c r="A4" s="34" t="str">
        <f t="shared" si="1"/>
        <v>Sunday</v>
      </c>
      <c r="B4" s="31">
        <v>46236.0</v>
      </c>
      <c r="C4" s="33">
        <v>275.0</v>
      </c>
      <c r="D4" s="33">
        <v>1308.2</v>
      </c>
      <c r="E4" s="35">
        <f t="shared" si="2"/>
        <v>1583.2</v>
      </c>
      <c r="F4" s="33">
        <v>166.0</v>
      </c>
      <c r="G4" s="33">
        <v>1167.11</v>
      </c>
      <c r="H4" s="35">
        <f t="shared" si="3"/>
        <v>1333.11</v>
      </c>
      <c r="I4" s="33">
        <v>105.0</v>
      </c>
      <c r="J4" s="33">
        <v>1087.87</v>
      </c>
      <c r="K4" s="35">
        <f t="shared" si="4"/>
        <v>1192.87</v>
      </c>
      <c r="L4" s="33">
        <v>68.2</v>
      </c>
      <c r="M4" s="33">
        <v>224.64</v>
      </c>
      <c r="N4" s="35">
        <f t="shared" si="5"/>
        <v>292.84</v>
      </c>
      <c r="O4" s="38">
        <f t="shared" si="6"/>
        <v>4402.02</v>
      </c>
      <c r="P4" s="34" t="str">
        <f t="shared" si="7"/>
        <v>Sunday</v>
      </c>
      <c r="Q4" s="31">
        <v>46236.0</v>
      </c>
      <c r="R4" s="41" t="s">
        <v>28</v>
      </c>
      <c r="S4" s="42" t="s">
        <v>29</v>
      </c>
      <c r="T4" s="42" t="s">
        <v>19</v>
      </c>
      <c r="U4" s="44" t="s">
        <v>18</v>
      </c>
      <c r="V4" s="43">
        <v>8.0</v>
      </c>
      <c r="Y4" s="44">
        <v>2.0</v>
      </c>
      <c r="Z4" s="44" t="s">
        <v>27</v>
      </c>
    </row>
    <row r="5">
      <c r="A5" s="34" t="str">
        <f t="shared" si="1"/>
        <v>Monday</v>
      </c>
      <c r="B5" s="31">
        <v>46237.0</v>
      </c>
      <c r="C5" s="46">
        <v>199.18</v>
      </c>
      <c r="D5" s="46">
        <v>207.79</v>
      </c>
      <c r="E5" s="35">
        <f t="shared" si="2"/>
        <v>406.97</v>
      </c>
      <c r="F5" s="33">
        <v>65.0</v>
      </c>
      <c r="G5" s="33">
        <v>240.15</v>
      </c>
      <c r="H5" s="35">
        <f t="shared" si="3"/>
        <v>305.15</v>
      </c>
      <c r="I5" s="33">
        <v>20.0</v>
      </c>
      <c r="J5" s="33">
        <v>283.62</v>
      </c>
      <c r="K5" s="35">
        <f t="shared" si="4"/>
        <v>303.62</v>
      </c>
      <c r="L5" s="33">
        <v>52.48</v>
      </c>
      <c r="M5" s="33">
        <v>363.44</v>
      </c>
      <c r="N5" s="35">
        <f t="shared" si="5"/>
        <v>415.92</v>
      </c>
      <c r="O5" s="38">
        <f t="shared" si="6"/>
        <v>1431.66</v>
      </c>
      <c r="P5" s="34" t="str">
        <f t="shared" si="7"/>
        <v>Monday</v>
      </c>
      <c r="Q5" s="31">
        <v>46237.0</v>
      </c>
      <c r="R5" s="41" t="s">
        <v>16</v>
      </c>
      <c r="S5" s="42" t="s">
        <v>20</v>
      </c>
      <c r="T5" s="42" t="s">
        <v>19</v>
      </c>
      <c r="U5" s="42" t="s">
        <v>18</v>
      </c>
      <c r="V5" s="43">
        <v>10.0</v>
      </c>
      <c r="Y5" s="44">
        <v>3.0</v>
      </c>
      <c r="Z5" s="44" t="s">
        <v>30</v>
      </c>
    </row>
    <row r="6">
      <c r="A6" s="34" t="str">
        <f t="shared" si="1"/>
        <v>Tuesday</v>
      </c>
      <c r="B6" s="31">
        <v>46238.0</v>
      </c>
      <c r="C6" s="46">
        <v>126.65</v>
      </c>
      <c r="D6" s="46">
        <v>594.59</v>
      </c>
      <c r="E6" s="35">
        <f t="shared" si="2"/>
        <v>721.24</v>
      </c>
      <c r="F6" s="33">
        <v>80.0</v>
      </c>
      <c r="G6" s="33">
        <v>141.81</v>
      </c>
      <c r="H6" s="35">
        <f t="shared" si="3"/>
        <v>221.81</v>
      </c>
      <c r="I6" s="33">
        <v>40.0</v>
      </c>
      <c r="J6" s="33">
        <v>167.79</v>
      </c>
      <c r="K6" s="35">
        <f t="shared" si="4"/>
        <v>207.79</v>
      </c>
      <c r="L6" s="33">
        <v>201.35</v>
      </c>
      <c r="M6" s="33">
        <v>75.77</v>
      </c>
      <c r="N6" s="35">
        <f t="shared" si="5"/>
        <v>277.12</v>
      </c>
      <c r="O6" s="38">
        <f t="shared" si="6"/>
        <v>1427.96</v>
      </c>
      <c r="P6" s="34" t="str">
        <f t="shared" si="7"/>
        <v>Tuesday</v>
      </c>
      <c r="Q6" s="31">
        <v>46238.0</v>
      </c>
      <c r="R6" s="41" t="s">
        <v>16</v>
      </c>
      <c r="S6" s="42" t="s">
        <v>20</v>
      </c>
      <c r="T6" s="42" t="s">
        <v>19</v>
      </c>
      <c r="U6" s="44" t="s">
        <v>18</v>
      </c>
      <c r="V6" s="43">
        <v>10.0</v>
      </c>
      <c r="Y6" s="44">
        <v>4.0</v>
      </c>
      <c r="Z6" s="44" t="s">
        <v>33</v>
      </c>
    </row>
    <row r="7">
      <c r="A7" s="34" t="str">
        <f t="shared" si="1"/>
        <v>Wednesday</v>
      </c>
      <c r="B7" s="31">
        <v>46239.0</v>
      </c>
      <c r="C7" s="46">
        <v>60.0</v>
      </c>
      <c r="D7" s="46">
        <v>557.75</v>
      </c>
      <c r="E7" s="35">
        <f t="shared" si="2"/>
        <v>617.75</v>
      </c>
      <c r="F7" s="33">
        <v>90.36</v>
      </c>
      <c r="G7" s="33">
        <v>113.67</v>
      </c>
      <c r="H7" s="35">
        <f t="shared" si="3"/>
        <v>204.03</v>
      </c>
      <c r="I7" s="33">
        <v>113.0</v>
      </c>
      <c r="J7" s="33">
        <v>347.69</v>
      </c>
      <c r="K7" s="35">
        <f t="shared" si="4"/>
        <v>460.69</v>
      </c>
      <c r="L7" s="33">
        <v>92.02</v>
      </c>
      <c r="M7" s="33">
        <v>81.19</v>
      </c>
      <c r="N7" s="35">
        <f t="shared" si="5"/>
        <v>173.21</v>
      </c>
      <c r="O7" s="38">
        <f t="shared" si="6"/>
        <v>1455.68</v>
      </c>
      <c r="P7" s="34" t="str">
        <f t="shared" si="7"/>
        <v>Wednesday</v>
      </c>
      <c r="Q7" s="31">
        <v>46239.0</v>
      </c>
      <c r="R7" s="41" t="s">
        <v>16</v>
      </c>
      <c r="S7" s="42" t="s">
        <v>20</v>
      </c>
      <c r="T7" s="42" t="s">
        <v>19</v>
      </c>
      <c r="U7" s="42" t="s">
        <v>18</v>
      </c>
      <c r="V7" s="43">
        <v>10.0</v>
      </c>
      <c r="Y7" s="44">
        <v>5.0</v>
      </c>
      <c r="Z7" s="44" t="s">
        <v>34</v>
      </c>
    </row>
    <row r="8">
      <c r="A8" s="34" t="str">
        <f t="shared" si="1"/>
        <v>Thursday</v>
      </c>
      <c r="B8" s="31">
        <v>46240.0</v>
      </c>
      <c r="C8" s="46">
        <v>0.0</v>
      </c>
      <c r="D8" s="46">
        <v>523.93</v>
      </c>
      <c r="E8" s="35">
        <f t="shared" si="2"/>
        <v>523.93</v>
      </c>
      <c r="F8" s="33">
        <v>75.0</v>
      </c>
      <c r="G8" s="33">
        <v>440.56</v>
      </c>
      <c r="H8" s="35">
        <f t="shared" si="3"/>
        <v>515.56</v>
      </c>
      <c r="I8" s="33">
        <v>40.24</v>
      </c>
      <c r="J8" s="33">
        <v>106.09</v>
      </c>
      <c r="K8" s="35">
        <f t="shared" si="4"/>
        <v>146.33</v>
      </c>
      <c r="L8" s="33">
        <v>66.65</v>
      </c>
      <c r="M8" s="33">
        <v>157.52</v>
      </c>
      <c r="N8" s="35">
        <f t="shared" si="5"/>
        <v>224.17</v>
      </c>
      <c r="O8" s="38">
        <f t="shared" si="6"/>
        <v>1409.99</v>
      </c>
      <c r="P8" s="34" t="str">
        <f t="shared" si="7"/>
        <v>Thursday</v>
      </c>
      <c r="Q8" s="31">
        <v>46240.0</v>
      </c>
      <c r="R8" s="41" t="s">
        <v>16</v>
      </c>
      <c r="S8" s="42" t="s">
        <v>20</v>
      </c>
      <c r="T8" s="42" t="s">
        <v>19</v>
      </c>
      <c r="U8" s="42" t="s">
        <v>18</v>
      </c>
      <c r="V8" s="43">
        <v>10.0</v>
      </c>
      <c r="Y8" s="44">
        <v>6.0</v>
      </c>
      <c r="Z8" s="44" t="s">
        <v>35</v>
      </c>
    </row>
    <row r="9">
      <c r="A9" s="34" t="str">
        <f t="shared" si="1"/>
        <v>Friday</v>
      </c>
      <c r="B9" s="31">
        <v>46241.0</v>
      </c>
      <c r="C9" s="46">
        <v>107.17</v>
      </c>
      <c r="D9" s="46">
        <v>630.0</v>
      </c>
      <c r="E9" s="35">
        <f t="shared" si="2"/>
        <v>737.17</v>
      </c>
      <c r="F9" s="33">
        <v>186.65</v>
      </c>
      <c r="G9" s="33">
        <v>403.77</v>
      </c>
      <c r="H9" s="35">
        <f t="shared" si="3"/>
        <v>590.42</v>
      </c>
      <c r="I9" s="33">
        <v>20.0</v>
      </c>
      <c r="J9" s="33">
        <v>227.32</v>
      </c>
      <c r="K9" s="35">
        <f t="shared" si="4"/>
        <v>247.32</v>
      </c>
      <c r="L9" s="33">
        <v>134.23</v>
      </c>
      <c r="M9" s="33">
        <v>252.24</v>
      </c>
      <c r="N9" s="35">
        <f t="shared" si="5"/>
        <v>386.47</v>
      </c>
      <c r="O9" s="38">
        <f t="shared" si="6"/>
        <v>1961.38</v>
      </c>
      <c r="P9" s="34" t="str">
        <f t="shared" si="7"/>
        <v>Friday</v>
      </c>
      <c r="Q9" s="31">
        <v>46241.0</v>
      </c>
      <c r="R9" s="41" t="s">
        <v>16</v>
      </c>
      <c r="S9" s="42" t="s">
        <v>20</v>
      </c>
      <c r="T9" s="42" t="s">
        <v>19</v>
      </c>
      <c r="U9" s="42" t="s">
        <v>18</v>
      </c>
      <c r="V9" s="43">
        <v>10.0</v>
      </c>
      <c r="W9" s="44" t="s">
        <v>40</v>
      </c>
      <c r="Y9" s="44">
        <v>7.0</v>
      </c>
      <c r="Z9" s="44" t="s">
        <v>36</v>
      </c>
    </row>
    <row r="10">
      <c r="A10" s="34" t="str">
        <f t="shared" si="1"/>
        <v>Saturday</v>
      </c>
      <c r="B10" s="31">
        <v>46242.0</v>
      </c>
      <c r="C10" s="46">
        <v>326.63</v>
      </c>
      <c r="D10" s="46">
        <v>1501.36</v>
      </c>
      <c r="E10" s="35">
        <f t="shared" si="2"/>
        <v>1827.99</v>
      </c>
      <c r="F10" s="33">
        <v>206.95</v>
      </c>
      <c r="G10" s="33">
        <v>1181.74</v>
      </c>
      <c r="H10" s="35">
        <f t="shared" si="3"/>
        <v>1388.69</v>
      </c>
      <c r="I10" s="33">
        <v>226.39</v>
      </c>
      <c r="J10" s="33">
        <v>669.8</v>
      </c>
      <c r="K10" s="35">
        <f t="shared" si="4"/>
        <v>896.19</v>
      </c>
      <c r="L10" s="33">
        <v>143.0</v>
      </c>
      <c r="M10" s="33">
        <v>497.95</v>
      </c>
      <c r="N10" s="35">
        <f t="shared" si="5"/>
        <v>640.95</v>
      </c>
      <c r="O10" s="38">
        <f t="shared" si="6"/>
        <v>4753.82</v>
      </c>
      <c r="P10" s="34" t="str">
        <f t="shared" si="7"/>
        <v>Saturday</v>
      </c>
      <c r="Q10" s="31">
        <v>46242.0</v>
      </c>
      <c r="R10" s="41" t="s">
        <v>41</v>
      </c>
      <c r="S10" s="42" t="s">
        <v>42</v>
      </c>
      <c r="T10" s="42" t="s">
        <v>29</v>
      </c>
      <c r="U10" s="42" t="s">
        <v>19</v>
      </c>
      <c r="V10" s="43">
        <v>11.0</v>
      </c>
      <c r="W10" s="44" t="s">
        <v>44</v>
      </c>
      <c r="Y10" s="44">
        <v>8.0</v>
      </c>
      <c r="Z10" s="44" t="s">
        <v>37</v>
      </c>
    </row>
    <row r="11">
      <c r="A11" s="34" t="str">
        <f t="shared" si="1"/>
        <v>Sunday</v>
      </c>
      <c r="B11" s="31">
        <v>46243.0</v>
      </c>
      <c r="C11" s="46">
        <v>320.0</v>
      </c>
      <c r="D11" s="46">
        <v>1520.91</v>
      </c>
      <c r="E11" s="35">
        <f t="shared" si="2"/>
        <v>1840.91</v>
      </c>
      <c r="F11" s="33">
        <v>113.3</v>
      </c>
      <c r="G11" s="33">
        <v>371.65</v>
      </c>
      <c r="H11" s="35">
        <f t="shared" si="3"/>
        <v>484.95</v>
      </c>
      <c r="I11" s="33">
        <v>410.0</v>
      </c>
      <c r="J11" s="33">
        <v>225.18</v>
      </c>
      <c r="K11" s="35">
        <f t="shared" si="4"/>
        <v>635.18</v>
      </c>
      <c r="L11" s="33">
        <v>294.0</v>
      </c>
      <c r="M11" s="33">
        <v>226.13</v>
      </c>
      <c r="N11" s="35">
        <f t="shared" si="5"/>
        <v>520.13</v>
      </c>
      <c r="O11" s="38">
        <f t="shared" si="6"/>
        <v>3481.17</v>
      </c>
      <c r="P11" s="34" t="str">
        <f t="shared" si="7"/>
        <v>Sunday</v>
      </c>
      <c r="Q11" s="31">
        <v>46243.0</v>
      </c>
      <c r="R11" s="41" t="s">
        <v>16</v>
      </c>
      <c r="S11" s="42" t="s">
        <v>20</v>
      </c>
      <c r="T11" s="42" t="s">
        <v>25</v>
      </c>
      <c r="U11" s="42" t="s">
        <v>42</v>
      </c>
      <c r="V11" s="43">
        <v>8.0</v>
      </c>
      <c r="Y11" s="44">
        <v>9.0</v>
      </c>
      <c r="Z11" s="44" t="s">
        <v>39</v>
      </c>
    </row>
    <row r="12">
      <c r="A12" s="34" t="str">
        <f t="shared" si="1"/>
        <v>Monday</v>
      </c>
      <c r="B12" s="31">
        <v>46244.0</v>
      </c>
      <c r="C12" s="54">
        <v>45.0</v>
      </c>
      <c r="D12" s="54">
        <v>428.48</v>
      </c>
      <c r="E12" s="35">
        <f t="shared" si="2"/>
        <v>473.48</v>
      </c>
      <c r="F12" s="33">
        <v>143.46</v>
      </c>
      <c r="G12" s="33">
        <v>144.78</v>
      </c>
      <c r="H12" s="35">
        <f t="shared" si="3"/>
        <v>288.24</v>
      </c>
      <c r="I12" s="33">
        <v>167.99</v>
      </c>
      <c r="J12" s="33">
        <v>151.55</v>
      </c>
      <c r="K12" s="35">
        <f t="shared" si="4"/>
        <v>319.54</v>
      </c>
      <c r="L12" s="33">
        <v>70.0</v>
      </c>
      <c r="M12" s="33">
        <v>239.12</v>
      </c>
      <c r="N12" s="35">
        <f t="shared" si="5"/>
        <v>309.12</v>
      </c>
      <c r="O12" s="38">
        <f t="shared" si="6"/>
        <v>1390.38</v>
      </c>
      <c r="P12" s="34" t="str">
        <f t="shared" si="7"/>
        <v>Monday</v>
      </c>
      <c r="Q12" s="31">
        <v>46244.0</v>
      </c>
      <c r="R12" s="41" t="s">
        <v>16</v>
      </c>
      <c r="S12" s="42" t="s">
        <v>20</v>
      </c>
      <c r="T12" s="42" t="s">
        <v>25</v>
      </c>
      <c r="U12" s="56" t="s">
        <v>47</v>
      </c>
      <c r="V12" s="43">
        <v>10.0</v>
      </c>
      <c r="Y12" s="44">
        <v>10.0</v>
      </c>
      <c r="Z12" s="44" t="s">
        <v>43</v>
      </c>
    </row>
    <row r="13">
      <c r="A13" s="34" t="str">
        <f t="shared" si="1"/>
        <v>Tuesday</v>
      </c>
      <c r="B13" s="31">
        <v>46245.0</v>
      </c>
      <c r="C13" s="46">
        <v>235.99</v>
      </c>
      <c r="D13" s="46">
        <v>410.27</v>
      </c>
      <c r="E13" s="35">
        <f t="shared" si="2"/>
        <v>646.26</v>
      </c>
      <c r="F13" s="33">
        <v>330.42</v>
      </c>
      <c r="G13" s="33">
        <v>378.15</v>
      </c>
      <c r="H13" s="35">
        <f t="shared" si="3"/>
        <v>708.57</v>
      </c>
      <c r="I13" s="33">
        <v>0.0</v>
      </c>
      <c r="J13" s="33">
        <v>194.57</v>
      </c>
      <c r="K13" s="35">
        <f t="shared" si="4"/>
        <v>194.57</v>
      </c>
      <c r="L13" s="33">
        <v>32.48</v>
      </c>
      <c r="M13" s="33">
        <v>284.45</v>
      </c>
      <c r="N13" s="35">
        <f t="shared" si="5"/>
        <v>316.93</v>
      </c>
      <c r="O13" s="38">
        <f t="shared" si="6"/>
        <v>1866.33</v>
      </c>
      <c r="P13" s="34" t="str">
        <f t="shared" si="7"/>
        <v>Tuesday</v>
      </c>
      <c r="Q13" s="31">
        <v>46245.0</v>
      </c>
      <c r="R13" s="41" t="s">
        <v>16</v>
      </c>
      <c r="S13" s="42" t="s">
        <v>20</v>
      </c>
      <c r="T13" s="42" t="s">
        <v>25</v>
      </c>
      <c r="U13" s="42" t="s">
        <v>49</v>
      </c>
      <c r="V13" s="43">
        <v>10.0</v>
      </c>
      <c r="Y13" s="44">
        <v>11.0</v>
      </c>
      <c r="Z13" s="44" t="s">
        <v>45</v>
      </c>
    </row>
    <row r="14">
      <c r="A14" s="34" t="str">
        <f t="shared" si="1"/>
        <v>Wednesday</v>
      </c>
      <c r="B14" s="31">
        <v>46246.0</v>
      </c>
      <c r="C14" s="33">
        <v>89.0</v>
      </c>
      <c r="D14" s="33">
        <v>487.12</v>
      </c>
      <c r="E14" s="35">
        <f t="shared" si="2"/>
        <v>576.12</v>
      </c>
      <c r="F14" s="33">
        <v>58.46</v>
      </c>
      <c r="G14" s="33">
        <v>113.45</v>
      </c>
      <c r="H14" s="35">
        <f t="shared" si="3"/>
        <v>171.91</v>
      </c>
      <c r="I14" s="33">
        <v>0.0</v>
      </c>
      <c r="J14" s="33">
        <v>243.84</v>
      </c>
      <c r="K14" s="35">
        <f t="shared" si="4"/>
        <v>243.84</v>
      </c>
      <c r="L14" s="33">
        <v>0.0</v>
      </c>
      <c r="M14" s="33">
        <v>156.97</v>
      </c>
      <c r="N14" s="35">
        <f t="shared" si="5"/>
        <v>156.97</v>
      </c>
      <c r="O14" s="38">
        <f t="shared" si="6"/>
        <v>1148.84</v>
      </c>
      <c r="P14" s="34" t="str">
        <f t="shared" si="7"/>
        <v>Wednesday</v>
      </c>
      <c r="Q14" s="31">
        <v>46246.0</v>
      </c>
      <c r="R14" s="41" t="s">
        <v>16</v>
      </c>
      <c r="S14" s="42" t="s">
        <v>20</v>
      </c>
      <c r="T14" s="42" t="s">
        <v>25</v>
      </c>
      <c r="U14" s="42" t="s">
        <v>49</v>
      </c>
      <c r="V14" s="43">
        <v>10.0</v>
      </c>
      <c r="Y14" s="44">
        <v>12.0</v>
      </c>
      <c r="Z14" s="44" t="s">
        <v>46</v>
      </c>
    </row>
    <row r="15">
      <c r="A15" s="34" t="str">
        <f t="shared" si="1"/>
        <v>Thursday</v>
      </c>
      <c r="B15" s="31">
        <v>46247.0</v>
      </c>
      <c r="C15" s="33">
        <v>109.0</v>
      </c>
      <c r="D15" s="33">
        <v>396.4</v>
      </c>
      <c r="E15" s="35">
        <f t="shared" si="2"/>
        <v>505.4</v>
      </c>
      <c r="F15" s="33">
        <v>74.13</v>
      </c>
      <c r="G15" s="33">
        <v>156.97</v>
      </c>
      <c r="H15" s="35">
        <f t="shared" si="3"/>
        <v>231.1</v>
      </c>
      <c r="I15" s="33">
        <v>55.0</v>
      </c>
      <c r="J15" s="33">
        <v>97.42</v>
      </c>
      <c r="K15" s="35">
        <f t="shared" si="4"/>
        <v>152.42</v>
      </c>
      <c r="L15" s="33">
        <v>159.9</v>
      </c>
      <c r="M15" s="33">
        <v>232.74</v>
      </c>
      <c r="N15" s="35">
        <f t="shared" si="5"/>
        <v>392.64</v>
      </c>
      <c r="O15" s="38">
        <f t="shared" si="6"/>
        <v>1281.56</v>
      </c>
      <c r="P15" s="34" t="str">
        <f t="shared" si="7"/>
        <v>Thursday</v>
      </c>
      <c r="Q15" s="31">
        <v>46247.0</v>
      </c>
      <c r="R15" s="41" t="s">
        <v>16</v>
      </c>
      <c r="S15" s="42" t="s">
        <v>20</v>
      </c>
      <c r="T15" s="42" t="s">
        <v>25</v>
      </c>
      <c r="U15" s="42" t="s">
        <v>49</v>
      </c>
      <c r="V15" s="43">
        <v>10.0</v>
      </c>
      <c r="Y15" s="44">
        <v>13.0</v>
      </c>
      <c r="Z15" s="44" t="s">
        <v>48</v>
      </c>
    </row>
    <row r="16">
      <c r="A16" s="34" t="str">
        <f t="shared" si="1"/>
        <v>Friday</v>
      </c>
      <c r="B16" s="31">
        <v>46248.0</v>
      </c>
      <c r="C16" s="33">
        <v>207.01</v>
      </c>
      <c r="D16" s="33">
        <v>574.44</v>
      </c>
      <c r="E16" s="35">
        <f t="shared" si="2"/>
        <v>781.45</v>
      </c>
      <c r="F16" s="33">
        <v>144.71</v>
      </c>
      <c r="G16" s="33">
        <v>409.42</v>
      </c>
      <c r="H16" s="35">
        <f t="shared" si="3"/>
        <v>554.13</v>
      </c>
      <c r="I16" s="33">
        <v>147.0</v>
      </c>
      <c r="J16" s="33">
        <v>122.16</v>
      </c>
      <c r="K16" s="35">
        <f t="shared" si="4"/>
        <v>269.16</v>
      </c>
      <c r="L16" s="33">
        <v>496.86</v>
      </c>
      <c r="M16" s="33">
        <v>32.0</v>
      </c>
      <c r="N16" s="35">
        <f t="shared" si="5"/>
        <v>528.86</v>
      </c>
      <c r="O16" s="38">
        <f t="shared" si="6"/>
        <v>2133.6</v>
      </c>
      <c r="P16" s="34" t="str">
        <f t="shared" si="7"/>
        <v>Friday</v>
      </c>
      <c r="Q16" s="31">
        <v>46248.0</v>
      </c>
      <c r="R16" s="41" t="s">
        <v>16</v>
      </c>
      <c r="S16" s="42" t="s">
        <v>20</v>
      </c>
      <c r="T16" s="42" t="s">
        <v>25</v>
      </c>
      <c r="U16" s="42" t="s">
        <v>49</v>
      </c>
      <c r="V16" s="43">
        <v>11.0</v>
      </c>
      <c r="Y16" s="44">
        <v>14.0</v>
      </c>
      <c r="Z16" s="44" t="s">
        <v>50</v>
      </c>
    </row>
    <row r="17">
      <c r="A17" s="34" t="str">
        <f t="shared" si="1"/>
        <v>Saturday</v>
      </c>
      <c r="B17" s="31">
        <v>46249.0</v>
      </c>
      <c r="C17" s="33">
        <v>491.82</v>
      </c>
      <c r="D17" s="33">
        <v>1405.59</v>
      </c>
      <c r="E17" s="35">
        <f t="shared" si="2"/>
        <v>1897.41</v>
      </c>
      <c r="F17" s="33">
        <v>78.0</v>
      </c>
      <c r="G17" s="33">
        <v>426.83</v>
      </c>
      <c r="H17" s="35">
        <f t="shared" si="3"/>
        <v>504.83</v>
      </c>
      <c r="I17" s="33">
        <v>125.0</v>
      </c>
      <c r="J17" s="33">
        <v>1086.02</v>
      </c>
      <c r="K17" s="35">
        <f t="shared" si="4"/>
        <v>1211.02</v>
      </c>
      <c r="L17" s="33">
        <v>150.0</v>
      </c>
      <c r="M17" s="33">
        <v>568.58</v>
      </c>
      <c r="N17" s="35">
        <f t="shared" si="5"/>
        <v>718.58</v>
      </c>
      <c r="O17" s="38">
        <f t="shared" si="6"/>
        <v>4331.84</v>
      </c>
      <c r="P17" s="34" t="str">
        <f t="shared" si="7"/>
        <v>Saturday</v>
      </c>
      <c r="Q17" s="31">
        <v>46249.0</v>
      </c>
      <c r="R17" s="41" t="s">
        <v>28</v>
      </c>
      <c r="S17" s="42" t="s">
        <v>42</v>
      </c>
      <c r="T17" s="55" t="s">
        <v>19</v>
      </c>
      <c r="U17" s="42" t="s">
        <v>29</v>
      </c>
      <c r="V17" s="43">
        <v>11.0</v>
      </c>
      <c r="W17" s="44" t="s">
        <v>55</v>
      </c>
      <c r="Y17" s="44">
        <v>15.0</v>
      </c>
      <c r="Z17" s="44" t="s">
        <v>51</v>
      </c>
    </row>
    <row r="18">
      <c r="A18" s="34" t="str">
        <f t="shared" si="1"/>
        <v>Sunday</v>
      </c>
      <c r="B18" s="31">
        <v>46250.0</v>
      </c>
      <c r="C18" s="33">
        <v>226.74</v>
      </c>
      <c r="D18" s="33">
        <v>930.89</v>
      </c>
      <c r="E18" s="35">
        <f t="shared" si="2"/>
        <v>1157.63</v>
      </c>
      <c r="F18" s="33">
        <v>187.71</v>
      </c>
      <c r="G18" s="33">
        <v>340.57</v>
      </c>
      <c r="H18" s="35">
        <f t="shared" si="3"/>
        <v>528.28</v>
      </c>
      <c r="I18" s="33">
        <v>320.0</v>
      </c>
      <c r="J18" s="33">
        <v>257.5</v>
      </c>
      <c r="K18" s="35">
        <f t="shared" si="4"/>
        <v>577.5</v>
      </c>
      <c r="L18" s="33">
        <v>244.23</v>
      </c>
      <c r="M18" s="33">
        <v>749.12</v>
      </c>
      <c r="N18" s="35">
        <f t="shared" si="5"/>
        <v>993.35</v>
      </c>
      <c r="O18" s="38">
        <f t="shared" si="6"/>
        <v>3256.76</v>
      </c>
      <c r="P18" s="34" t="str">
        <f t="shared" si="7"/>
        <v>Sunday</v>
      </c>
      <c r="Q18" s="31">
        <v>46250.0</v>
      </c>
      <c r="R18" s="41" t="s">
        <v>28</v>
      </c>
      <c r="S18" s="42" t="s">
        <v>42</v>
      </c>
      <c r="T18" s="42" t="s">
        <v>19</v>
      </c>
      <c r="U18" s="55" t="s">
        <v>29</v>
      </c>
      <c r="V18" s="43">
        <v>8.0</v>
      </c>
      <c r="W18" s="43" t="s">
        <v>57</v>
      </c>
      <c r="Y18" s="44">
        <v>16.0</v>
      </c>
      <c r="Z18" s="44" t="s">
        <v>52</v>
      </c>
    </row>
    <row r="19">
      <c r="A19" s="34" t="str">
        <f t="shared" si="1"/>
        <v>Monday</v>
      </c>
      <c r="B19" s="31">
        <v>46251.0</v>
      </c>
      <c r="C19" s="33">
        <v>20.0</v>
      </c>
      <c r="D19" s="33">
        <v>379.97</v>
      </c>
      <c r="E19" s="35">
        <f t="shared" si="2"/>
        <v>399.97</v>
      </c>
      <c r="F19" s="33">
        <v>55.0</v>
      </c>
      <c r="G19" s="44">
        <v>159.25</v>
      </c>
      <c r="H19" s="35">
        <f t="shared" si="3"/>
        <v>214.25</v>
      </c>
      <c r="I19" s="33">
        <v>0.0</v>
      </c>
      <c r="J19" s="33">
        <v>116.24</v>
      </c>
      <c r="K19" s="35">
        <f t="shared" si="4"/>
        <v>116.24</v>
      </c>
      <c r="L19" s="33">
        <v>62.79</v>
      </c>
      <c r="M19" s="33">
        <v>37.89</v>
      </c>
      <c r="N19" s="35">
        <f t="shared" si="5"/>
        <v>100.68</v>
      </c>
      <c r="O19" s="38">
        <f t="shared" si="6"/>
        <v>831.14</v>
      </c>
      <c r="P19" s="34" t="str">
        <f t="shared" si="7"/>
        <v>Monday</v>
      </c>
      <c r="Q19" s="31">
        <v>46251.0</v>
      </c>
      <c r="R19" s="41" t="s">
        <v>16</v>
      </c>
      <c r="S19" s="42" t="s">
        <v>20</v>
      </c>
      <c r="T19" s="42" t="s">
        <v>19</v>
      </c>
      <c r="U19" s="55" t="s">
        <v>18</v>
      </c>
      <c r="V19" s="43">
        <v>10.0</v>
      </c>
      <c r="W19" s="43"/>
      <c r="Y19" s="44">
        <v>17.0</v>
      </c>
      <c r="Z19" s="44" t="s">
        <v>54</v>
      </c>
    </row>
    <row r="20">
      <c r="A20" s="34" t="str">
        <f t="shared" si="1"/>
        <v>Tuesday</v>
      </c>
      <c r="B20" s="31">
        <v>46252.0</v>
      </c>
      <c r="C20" s="33">
        <v>25.0</v>
      </c>
      <c r="D20" s="33">
        <v>64.95</v>
      </c>
      <c r="E20" s="35">
        <f t="shared" si="2"/>
        <v>89.95</v>
      </c>
      <c r="F20" s="33">
        <v>0.0</v>
      </c>
      <c r="G20" s="33">
        <v>181.86</v>
      </c>
      <c r="H20" s="35">
        <f t="shared" si="3"/>
        <v>181.86</v>
      </c>
      <c r="I20" s="33">
        <v>25.0</v>
      </c>
      <c r="J20" s="33">
        <v>173.2</v>
      </c>
      <c r="K20" s="35">
        <f t="shared" si="4"/>
        <v>198.2</v>
      </c>
      <c r="L20" s="33">
        <v>30.31</v>
      </c>
      <c r="M20" s="33">
        <v>124.23</v>
      </c>
      <c r="N20" s="35">
        <f t="shared" si="5"/>
        <v>154.54</v>
      </c>
      <c r="O20" s="38">
        <f t="shared" si="6"/>
        <v>624.55</v>
      </c>
      <c r="P20" s="34" t="str">
        <f t="shared" si="7"/>
        <v>Tuesday</v>
      </c>
      <c r="Q20" s="31">
        <v>46252.0</v>
      </c>
      <c r="R20" s="41" t="s">
        <v>16</v>
      </c>
      <c r="S20" s="42" t="s">
        <v>20</v>
      </c>
      <c r="T20" s="42" t="s">
        <v>19</v>
      </c>
      <c r="U20" s="42" t="s">
        <v>18</v>
      </c>
      <c r="V20" s="43">
        <v>10.0</v>
      </c>
      <c r="W20" s="43"/>
      <c r="Y20" s="44">
        <v>18.0</v>
      </c>
      <c r="Z20" s="44" t="s">
        <v>56</v>
      </c>
    </row>
    <row r="21">
      <c r="A21" s="34" t="str">
        <f t="shared" si="1"/>
        <v>Wednesday</v>
      </c>
      <c r="B21" s="31">
        <v>46253.0</v>
      </c>
      <c r="C21" s="33">
        <v>40.0</v>
      </c>
      <c r="D21" s="33">
        <v>226.24</v>
      </c>
      <c r="E21" s="35">
        <f t="shared" si="2"/>
        <v>266.24</v>
      </c>
      <c r="F21" s="33">
        <v>95.0</v>
      </c>
      <c r="G21" s="33">
        <v>124.49</v>
      </c>
      <c r="H21" s="35">
        <f t="shared" si="3"/>
        <v>219.49</v>
      </c>
      <c r="I21" s="33">
        <v>50.33</v>
      </c>
      <c r="J21" s="33">
        <v>266.07</v>
      </c>
      <c r="K21" s="35">
        <f t="shared" si="4"/>
        <v>316.4</v>
      </c>
      <c r="L21" s="33">
        <v>0.0</v>
      </c>
      <c r="M21" s="33">
        <v>140.67</v>
      </c>
      <c r="N21" s="35">
        <f t="shared" si="5"/>
        <v>140.67</v>
      </c>
      <c r="O21" s="38">
        <f t="shared" si="6"/>
        <v>942.8</v>
      </c>
      <c r="P21" s="34" t="str">
        <f t="shared" si="7"/>
        <v>Wednesday</v>
      </c>
      <c r="Q21" s="31">
        <v>46253.0</v>
      </c>
      <c r="R21" s="41" t="s">
        <v>16</v>
      </c>
      <c r="S21" s="42" t="s">
        <v>20</v>
      </c>
      <c r="T21" s="42" t="s">
        <v>19</v>
      </c>
      <c r="U21" s="42" t="s">
        <v>18</v>
      </c>
      <c r="V21" s="43">
        <v>10.0</v>
      </c>
      <c r="W21" s="43"/>
      <c r="Y21" s="44">
        <v>19.0</v>
      </c>
      <c r="Z21" s="44" t="s">
        <v>58</v>
      </c>
    </row>
    <row r="22">
      <c r="A22" s="34" t="str">
        <f t="shared" si="1"/>
        <v>Thursday</v>
      </c>
      <c r="B22" s="31">
        <v>46254.0</v>
      </c>
      <c r="C22" s="33">
        <v>101.39</v>
      </c>
      <c r="D22" s="33">
        <v>460.06</v>
      </c>
      <c r="E22" s="35">
        <f t="shared" si="2"/>
        <v>561.45</v>
      </c>
      <c r="F22" s="33">
        <v>85.0</v>
      </c>
      <c r="G22" s="33">
        <v>140.84</v>
      </c>
      <c r="H22" s="35">
        <f t="shared" si="3"/>
        <v>225.84</v>
      </c>
      <c r="I22" s="33">
        <v>35.0</v>
      </c>
      <c r="J22" s="33">
        <v>20.0</v>
      </c>
      <c r="K22" s="35">
        <f t="shared" si="4"/>
        <v>55</v>
      </c>
      <c r="L22" s="33">
        <v>0.0</v>
      </c>
      <c r="M22" s="33">
        <v>83.9</v>
      </c>
      <c r="N22" s="35">
        <f t="shared" si="5"/>
        <v>83.9</v>
      </c>
      <c r="O22" s="38">
        <f t="shared" si="6"/>
        <v>926.19</v>
      </c>
      <c r="P22" s="34" t="str">
        <f t="shared" si="7"/>
        <v>Thursday</v>
      </c>
      <c r="Q22" s="31">
        <v>46254.0</v>
      </c>
      <c r="R22" s="41" t="s">
        <v>16</v>
      </c>
      <c r="S22" s="42" t="s">
        <v>20</v>
      </c>
      <c r="T22" s="42" t="s">
        <v>19</v>
      </c>
      <c r="U22" s="42" t="s">
        <v>18</v>
      </c>
      <c r="V22" s="43">
        <v>10.0</v>
      </c>
      <c r="W22" s="43"/>
      <c r="Y22" s="44">
        <v>20.0</v>
      </c>
      <c r="Z22" s="44" t="s">
        <v>60</v>
      </c>
    </row>
    <row r="23">
      <c r="A23" s="34" t="str">
        <f t="shared" si="1"/>
        <v>Friday</v>
      </c>
      <c r="B23" s="31">
        <v>46255.0</v>
      </c>
      <c r="C23" s="33">
        <v>31.39</v>
      </c>
      <c r="D23" s="33">
        <v>1129.61</v>
      </c>
      <c r="E23" s="35">
        <f t="shared" si="2"/>
        <v>1161</v>
      </c>
      <c r="F23" s="33">
        <v>78.71</v>
      </c>
      <c r="G23" s="33">
        <v>230.85</v>
      </c>
      <c r="H23" s="35">
        <f t="shared" si="3"/>
        <v>309.56</v>
      </c>
      <c r="I23" s="33">
        <v>100.0</v>
      </c>
      <c r="J23" s="33">
        <v>303.11</v>
      </c>
      <c r="K23" s="35">
        <f t="shared" si="4"/>
        <v>403.11</v>
      </c>
      <c r="L23" s="33">
        <v>60.0</v>
      </c>
      <c r="M23" s="33">
        <v>271.58</v>
      </c>
      <c r="N23" s="35">
        <f t="shared" si="5"/>
        <v>331.58</v>
      </c>
      <c r="O23" s="38">
        <f t="shared" si="6"/>
        <v>2205.25</v>
      </c>
      <c r="P23" s="34" t="str">
        <f t="shared" si="7"/>
        <v>Friday</v>
      </c>
      <c r="Q23" s="31">
        <v>46255.0</v>
      </c>
      <c r="R23" s="41" t="s">
        <v>16</v>
      </c>
      <c r="S23" s="42" t="s">
        <v>20</v>
      </c>
      <c r="T23" s="42" t="s">
        <v>19</v>
      </c>
      <c r="U23" s="42" t="s">
        <v>18</v>
      </c>
      <c r="V23" s="43">
        <v>11.0</v>
      </c>
      <c r="W23" s="43"/>
    </row>
    <row r="24">
      <c r="A24" s="34" t="str">
        <f t="shared" si="1"/>
        <v>Saturday</v>
      </c>
      <c r="B24" s="31">
        <v>46256.0</v>
      </c>
      <c r="C24" s="33">
        <v>152.43</v>
      </c>
      <c r="D24" s="33">
        <v>424.25</v>
      </c>
      <c r="E24" s="35">
        <f t="shared" si="2"/>
        <v>576.68</v>
      </c>
      <c r="F24" s="33">
        <v>380.0</v>
      </c>
      <c r="G24" s="33">
        <v>459.42</v>
      </c>
      <c r="H24" s="35">
        <f t="shared" si="3"/>
        <v>839.42</v>
      </c>
      <c r="I24" s="33">
        <v>70.0</v>
      </c>
      <c r="J24" s="33">
        <v>549.15</v>
      </c>
      <c r="K24" s="35">
        <f t="shared" si="4"/>
        <v>619.15</v>
      </c>
      <c r="L24" s="33">
        <v>190.0</v>
      </c>
      <c r="M24" s="33">
        <v>560.74</v>
      </c>
      <c r="N24" s="35">
        <f t="shared" si="5"/>
        <v>750.74</v>
      </c>
      <c r="O24" s="38">
        <f t="shared" si="6"/>
        <v>2785.99</v>
      </c>
      <c r="P24" s="34" t="str">
        <f t="shared" si="7"/>
        <v>Saturday</v>
      </c>
      <c r="Q24" s="31">
        <v>46256.0</v>
      </c>
      <c r="R24" s="41" t="s">
        <v>28</v>
      </c>
      <c r="S24" s="42" t="s">
        <v>42</v>
      </c>
      <c r="T24" s="42" t="s">
        <v>19</v>
      </c>
      <c r="U24" s="42" t="s">
        <v>29</v>
      </c>
      <c r="V24" s="43">
        <v>11.0</v>
      </c>
      <c r="W24" s="43" t="s">
        <v>66</v>
      </c>
    </row>
    <row r="25">
      <c r="A25" s="34" t="str">
        <f t="shared" si="1"/>
        <v>Sunday</v>
      </c>
      <c r="B25" s="31">
        <v>46257.0</v>
      </c>
      <c r="C25" s="33">
        <v>309.5</v>
      </c>
      <c r="D25" s="33">
        <v>951.0</v>
      </c>
      <c r="E25" s="35">
        <f t="shared" si="2"/>
        <v>1260.5</v>
      </c>
      <c r="F25" s="33">
        <v>244.0</v>
      </c>
      <c r="G25" s="33">
        <v>615.95</v>
      </c>
      <c r="H25" s="35">
        <f t="shared" si="3"/>
        <v>859.95</v>
      </c>
      <c r="I25" s="33">
        <v>202.06</v>
      </c>
      <c r="J25" s="33">
        <v>433.01</v>
      </c>
      <c r="K25" s="35">
        <f t="shared" si="4"/>
        <v>635.07</v>
      </c>
      <c r="L25" s="33">
        <v>72.48</v>
      </c>
      <c r="M25" s="33">
        <v>206.76</v>
      </c>
      <c r="N25" s="35">
        <f t="shared" si="5"/>
        <v>279.24</v>
      </c>
      <c r="O25" s="38">
        <f t="shared" si="6"/>
        <v>3034.76</v>
      </c>
      <c r="P25" s="34" t="str">
        <f t="shared" si="7"/>
        <v>Sunday</v>
      </c>
      <c r="Q25" s="31">
        <v>46257.0</v>
      </c>
      <c r="R25" s="41" t="s">
        <v>67</v>
      </c>
      <c r="S25" s="57" t="s">
        <v>42</v>
      </c>
      <c r="T25" s="42" t="s">
        <v>19</v>
      </c>
      <c r="U25" s="42" t="s">
        <v>29</v>
      </c>
      <c r="V25" s="43">
        <v>8.0</v>
      </c>
      <c r="W25" s="43"/>
    </row>
    <row r="26">
      <c r="A26" s="34" t="str">
        <f t="shared" si="1"/>
        <v>Monday</v>
      </c>
      <c r="B26" s="31">
        <v>46258.0</v>
      </c>
      <c r="C26" s="33">
        <v>63.87</v>
      </c>
      <c r="D26" s="33">
        <v>179.25</v>
      </c>
      <c r="E26" s="35">
        <f t="shared" si="2"/>
        <v>243.12</v>
      </c>
      <c r="F26" s="33">
        <v>56.65</v>
      </c>
      <c r="G26" s="33">
        <v>51.16</v>
      </c>
      <c r="H26" s="35">
        <f t="shared" si="3"/>
        <v>107.81</v>
      </c>
      <c r="I26" s="33">
        <v>60.0</v>
      </c>
      <c r="J26" s="33">
        <v>84.43</v>
      </c>
      <c r="K26" s="35">
        <f t="shared" si="4"/>
        <v>144.43</v>
      </c>
      <c r="L26" s="33">
        <v>165.77</v>
      </c>
      <c r="M26" s="33">
        <v>195.93</v>
      </c>
      <c r="N26" s="35">
        <f t="shared" si="5"/>
        <v>361.7</v>
      </c>
      <c r="O26" s="38">
        <f t="shared" si="6"/>
        <v>857.06</v>
      </c>
      <c r="P26" s="34" t="str">
        <f t="shared" si="7"/>
        <v>Monday</v>
      </c>
      <c r="Q26" s="31">
        <v>46258.0</v>
      </c>
      <c r="R26" s="41" t="s">
        <v>16</v>
      </c>
      <c r="S26" s="57" t="s">
        <v>25</v>
      </c>
      <c r="T26" s="42" t="s">
        <v>19</v>
      </c>
      <c r="U26" s="42" t="s">
        <v>18</v>
      </c>
      <c r="V26" s="43">
        <v>10.0</v>
      </c>
      <c r="W26" s="43"/>
    </row>
    <row r="27">
      <c r="A27" s="34" t="str">
        <f t="shared" si="1"/>
        <v>Tuesday</v>
      </c>
      <c r="B27" s="31">
        <v>46259.0</v>
      </c>
      <c r="C27" s="33">
        <v>0.0</v>
      </c>
      <c r="D27" s="33">
        <v>150.06</v>
      </c>
      <c r="E27" s="35">
        <f t="shared" si="2"/>
        <v>150.06</v>
      </c>
      <c r="F27" s="33">
        <v>70.0</v>
      </c>
      <c r="G27" s="33">
        <v>40.0</v>
      </c>
      <c r="H27" s="35">
        <f t="shared" si="3"/>
        <v>110</v>
      </c>
      <c r="I27" s="33">
        <v>0.0</v>
      </c>
      <c r="J27" s="33">
        <v>74.54</v>
      </c>
      <c r="K27" s="35">
        <f t="shared" si="4"/>
        <v>74.54</v>
      </c>
      <c r="L27" s="33">
        <v>108.25</v>
      </c>
      <c r="M27" s="33">
        <v>111.25</v>
      </c>
      <c r="N27" s="35">
        <f t="shared" si="5"/>
        <v>219.5</v>
      </c>
      <c r="O27" s="38">
        <f t="shared" si="6"/>
        <v>554.1</v>
      </c>
      <c r="P27" s="34" t="str">
        <f t="shared" si="7"/>
        <v>Tuesday</v>
      </c>
      <c r="Q27" s="31">
        <v>46259.0</v>
      </c>
      <c r="R27" s="41" t="s">
        <v>16</v>
      </c>
      <c r="S27" s="57" t="s">
        <v>25</v>
      </c>
      <c r="T27" s="42" t="s">
        <v>19</v>
      </c>
      <c r="U27" s="42" t="s">
        <v>18</v>
      </c>
      <c r="V27" s="43">
        <v>10.0</v>
      </c>
      <c r="W27" s="43" t="s">
        <v>74</v>
      </c>
    </row>
    <row r="28">
      <c r="A28" s="34" t="str">
        <f t="shared" si="1"/>
        <v>Wednesday</v>
      </c>
      <c r="B28" s="31">
        <v>46260.0</v>
      </c>
      <c r="C28" s="33"/>
      <c r="D28" s="33"/>
      <c r="E28" s="35">
        <f t="shared" si="2"/>
        <v>0</v>
      </c>
      <c r="F28" s="33"/>
      <c r="G28" s="33"/>
      <c r="H28" s="35">
        <f t="shared" si="3"/>
        <v>0</v>
      </c>
      <c r="I28" s="33"/>
      <c r="J28" s="33"/>
      <c r="K28" s="35">
        <f t="shared" si="4"/>
        <v>0</v>
      </c>
      <c r="L28" s="33"/>
      <c r="M28" s="33"/>
      <c r="N28" s="35">
        <f t="shared" si="5"/>
        <v>0</v>
      </c>
      <c r="O28" s="38">
        <f t="shared" si="6"/>
        <v>0</v>
      </c>
      <c r="P28" s="34" t="str">
        <f t="shared" si="7"/>
        <v>Wednesday</v>
      </c>
      <c r="Q28" s="31">
        <v>46260.0</v>
      </c>
      <c r="R28" s="41" t="s">
        <v>16</v>
      </c>
      <c r="S28" s="57" t="s">
        <v>49</v>
      </c>
      <c r="T28" s="42" t="s">
        <v>19</v>
      </c>
      <c r="U28" s="42" t="s">
        <v>18</v>
      </c>
      <c r="V28" s="43"/>
      <c r="W28" s="43"/>
    </row>
    <row r="29">
      <c r="A29" s="34" t="str">
        <f t="shared" si="1"/>
        <v>Thursday</v>
      </c>
      <c r="B29" s="31">
        <v>46261.0</v>
      </c>
      <c r="C29" s="33"/>
      <c r="D29" s="33"/>
      <c r="E29" s="35">
        <f t="shared" si="2"/>
        <v>0</v>
      </c>
      <c r="F29" s="33"/>
      <c r="G29" s="33"/>
      <c r="H29" s="35">
        <f t="shared" si="3"/>
        <v>0</v>
      </c>
      <c r="I29" s="33"/>
      <c r="J29" s="33"/>
      <c r="K29" s="35">
        <f t="shared" si="4"/>
        <v>0</v>
      </c>
      <c r="L29" s="33"/>
      <c r="M29" s="33"/>
      <c r="N29" s="35">
        <f t="shared" si="5"/>
        <v>0</v>
      </c>
      <c r="O29" s="38">
        <f t="shared" si="6"/>
        <v>0</v>
      </c>
      <c r="P29" s="34" t="str">
        <f t="shared" si="7"/>
        <v>Thursday</v>
      </c>
      <c r="Q29" s="31">
        <v>46261.0</v>
      </c>
      <c r="R29" s="41" t="s">
        <v>16</v>
      </c>
      <c r="S29" s="57" t="s">
        <v>49</v>
      </c>
      <c r="T29" s="42" t="s">
        <v>19</v>
      </c>
      <c r="U29" s="42" t="s">
        <v>18</v>
      </c>
      <c r="V29" s="43"/>
      <c r="W29" s="43"/>
    </row>
    <row r="30">
      <c r="A30" s="34" t="str">
        <f t="shared" si="1"/>
        <v>Friday</v>
      </c>
      <c r="B30" s="31">
        <v>46262.0</v>
      </c>
      <c r="C30" s="33"/>
      <c r="D30" s="33"/>
      <c r="E30" s="35">
        <f t="shared" si="2"/>
        <v>0</v>
      </c>
      <c r="F30" s="33"/>
      <c r="G30" s="33"/>
      <c r="H30" s="35">
        <f t="shared" si="3"/>
        <v>0</v>
      </c>
      <c r="I30" s="33"/>
      <c r="J30" s="33"/>
      <c r="K30" s="35">
        <f t="shared" si="4"/>
        <v>0</v>
      </c>
      <c r="L30" s="33"/>
      <c r="M30" s="33"/>
      <c r="N30" s="35">
        <f t="shared" si="5"/>
        <v>0</v>
      </c>
      <c r="O30" s="38">
        <f t="shared" si="6"/>
        <v>0</v>
      </c>
      <c r="P30" s="34" t="str">
        <f t="shared" si="7"/>
        <v>Friday</v>
      </c>
      <c r="Q30" s="31">
        <v>46262.0</v>
      </c>
      <c r="R30" s="41" t="s">
        <v>16</v>
      </c>
      <c r="S30" s="57" t="s">
        <v>25</v>
      </c>
      <c r="T30" s="42" t="s">
        <v>19</v>
      </c>
      <c r="U30" s="42" t="s">
        <v>18</v>
      </c>
      <c r="V30" s="43"/>
      <c r="W30" s="43"/>
      <c r="Z30" s="87"/>
    </row>
    <row r="31">
      <c r="A31" s="34" t="str">
        <f t="shared" si="1"/>
        <v>Saturday</v>
      </c>
      <c r="B31" s="31">
        <v>46263.0</v>
      </c>
      <c r="C31" s="33"/>
      <c r="D31" s="33"/>
      <c r="E31" s="35">
        <f t="shared" si="2"/>
        <v>0</v>
      </c>
      <c r="F31" s="60"/>
      <c r="G31" s="60"/>
      <c r="H31" s="35">
        <f t="shared" si="3"/>
        <v>0</v>
      </c>
      <c r="I31" s="60"/>
      <c r="J31" s="60"/>
      <c r="K31" s="35">
        <f t="shared" si="4"/>
        <v>0</v>
      </c>
      <c r="L31" s="33"/>
      <c r="M31" s="60"/>
      <c r="N31" s="35">
        <f t="shared" si="5"/>
        <v>0</v>
      </c>
      <c r="O31" s="38">
        <f t="shared" si="6"/>
        <v>0</v>
      </c>
      <c r="P31" s="34" t="str">
        <f t="shared" si="7"/>
        <v>Saturday</v>
      </c>
      <c r="Q31" s="31">
        <v>46263.0</v>
      </c>
      <c r="R31" s="41" t="s">
        <v>67</v>
      </c>
      <c r="S31" s="57" t="s">
        <v>42</v>
      </c>
      <c r="T31" s="42" t="s">
        <v>19</v>
      </c>
      <c r="U31" s="42" t="s">
        <v>29</v>
      </c>
      <c r="V31" s="43"/>
      <c r="W31" s="43"/>
    </row>
    <row r="32">
      <c r="A32" s="34" t="str">
        <f t="shared" si="1"/>
        <v>Sunday</v>
      </c>
      <c r="B32" s="31">
        <v>46264.0</v>
      </c>
      <c r="C32" s="33"/>
      <c r="D32" s="33"/>
      <c r="E32" s="35">
        <f t="shared" si="2"/>
        <v>0</v>
      </c>
      <c r="F32" s="60"/>
      <c r="G32" s="60"/>
      <c r="H32" s="35">
        <f t="shared" si="3"/>
        <v>0</v>
      </c>
      <c r="I32" s="60"/>
      <c r="J32" s="60"/>
      <c r="K32" s="35">
        <f t="shared" si="4"/>
        <v>0</v>
      </c>
      <c r="L32" s="60"/>
      <c r="M32" s="60"/>
      <c r="N32" s="35">
        <f t="shared" si="5"/>
        <v>0</v>
      </c>
      <c r="O32" s="38">
        <f t="shared" si="6"/>
        <v>0</v>
      </c>
      <c r="P32" s="34" t="str">
        <f t="shared" si="7"/>
        <v>Sunday</v>
      </c>
      <c r="Q32" s="31">
        <v>46264.0</v>
      </c>
      <c r="R32" s="41" t="s">
        <v>67</v>
      </c>
      <c r="S32" s="57" t="s">
        <v>42</v>
      </c>
      <c r="T32" s="42" t="s">
        <v>19</v>
      </c>
      <c r="U32" s="42" t="s">
        <v>29</v>
      </c>
      <c r="V32" s="43"/>
      <c r="W32" s="43"/>
    </row>
    <row r="33">
      <c r="A33" s="34" t="str">
        <f t="shared" si="1"/>
        <v>Monday</v>
      </c>
      <c r="B33" s="31">
        <v>46265.0</v>
      </c>
      <c r="C33" s="113"/>
      <c r="D33" s="60"/>
      <c r="E33" s="35">
        <f t="shared" si="2"/>
        <v>0</v>
      </c>
      <c r="F33" s="114"/>
      <c r="G33" s="114"/>
      <c r="H33" s="35">
        <f t="shared" si="3"/>
        <v>0</v>
      </c>
      <c r="I33" s="114"/>
      <c r="J33" s="114"/>
      <c r="K33" s="35">
        <f t="shared" si="4"/>
        <v>0</v>
      </c>
      <c r="L33" s="114"/>
      <c r="M33" s="114"/>
      <c r="N33" s="35">
        <f t="shared" si="5"/>
        <v>0</v>
      </c>
      <c r="O33" s="38">
        <f t="shared" si="6"/>
        <v>0</v>
      </c>
      <c r="P33" s="34" t="str">
        <f t="shared" si="7"/>
        <v>Monday</v>
      </c>
      <c r="Q33" s="31">
        <v>46265.0</v>
      </c>
      <c r="R33" s="41" t="s">
        <v>16</v>
      </c>
      <c r="S33" s="42" t="s">
        <v>20</v>
      </c>
      <c r="T33" s="42" t="s">
        <v>19</v>
      </c>
      <c r="U33" s="42" t="s">
        <v>18</v>
      </c>
      <c r="V33" s="43"/>
      <c r="W33" s="43"/>
    </row>
    <row r="34">
      <c r="A34" s="7"/>
      <c r="B34" s="63"/>
      <c r="C34" s="61">
        <f t="shared" ref="C34:D34" si="8">SUM(C3:C33)</f>
        <v>3674.83</v>
      </c>
      <c r="D34" s="61">
        <f t="shared" si="8"/>
        <v>16456.51</v>
      </c>
      <c r="E34" s="62"/>
      <c r="F34" s="61">
        <f t="shared" ref="F34:G34" si="9">SUM(F3:F33)</f>
        <v>3562</v>
      </c>
      <c r="G34" s="61">
        <f t="shared" si="9"/>
        <v>8431.76</v>
      </c>
      <c r="H34" s="62"/>
      <c r="I34" s="61">
        <f t="shared" ref="I34:J34" si="10">SUM(I3:I33)</f>
        <v>2653.66</v>
      </c>
      <c r="J34" s="61">
        <f t="shared" si="10"/>
        <v>8008.07</v>
      </c>
      <c r="K34" s="62"/>
      <c r="L34" s="61">
        <f t="shared" ref="L34:M34" si="11">SUM(L3:L33)</f>
        <v>3089.85</v>
      </c>
      <c r="M34" s="61">
        <f t="shared" si="11"/>
        <v>6405.27</v>
      </c>
      <c r="N34" s="7"/>
      <c r="O34" s="68"/>
      <c r="P34" s="69"/>
      <c r="Q34" s="69"/>
      <c r="R34" s="70"/>
      <c r="S34" s="70"/>
      <c r="T34" s="70"/>
      <c r="U34" s="70"/>
      <c r="V34" s="43"/>
      <c r="W34" s="87"/>
    </row>
    <row r="35">
      <c r="A35" s="7"/>
      <c r="B35" s="7"/>
      <c r="C35" s="7"/>
      <c r="D35" s="64" t="s">
        <v>61</v>
      </c>
      <c r="E35" s="75">
        <f>SUM(E3:E33)</f>
        <v>20131.34</v>
      </c>
      <c r="F35" s="7"/>
      <c r="G35" s="64" t="s">
        <v>3</v>
      </c>
      <c r="H35" s="77">
        <f>SUM(H3:H33)</f>
        <v>11993.76</v>
      </c>
      <c r="I35" s="7"/>
      <c r="J35" s="64" t="s">
        <v>4</v>
      </c>
      <c r="K35" s="77">
        <f>SUM(K3:K33)</f>
        <v>10661.73</v>
      </c>
      <c r="L35" s="7"/>
      <c r="M35" s="64" t="s">
        <v>5</v>
      </c>
      <c r="N35" s="77">
        <f t="shared" ref="N35:O35" si="12">SUM(N3:N33)</f>
        <v>9495.12</v>
      </c>
      <c r="O35" s="82">
        <f t="shared" si="12"/>
        <v>52281.95</v>
      </c>
      <c r="P35" s="69"/>
      <c r="Q35" s="69"/>
      <c r="R35" s="70"/>
      <c r="S35" s="70"/>
      <c r="T35" s="70"/>
      <c r="U35" s="70"/>
      <c r="V35" s="43"/>
    </row>
    <row r="36">
      <c r="P36" s="84"/>
      <c r="Q36" s="84"/>
      <c r="R36" s="86">
        <f>IFERROR(__xludf.DUMMYFUNCTION("SUM(ARRAYFORMULA(IFERROR(VALUE(REGEXREPLACE(R3:R33,""[^\d]"","""")),0)))"),0.0)</f>
        <v>0</v>
      </c>
      <c r="S36" s="86">
        <f>IFERROR(__xludf.DUMMYFUNCTION("SUM(ARRAYFORMULA(IFERROR(VALUE(REGEXREPLACE(S3:S33,""[^\d]"","""")),0)))"),0.0)</f>
        <v>0</v>
      </c>
      <c r="T36" s="86">
        <f>IFERROR(__xludf.DUMMYFUNCTION("SUM(ARRAYFORMULA(IFERROR(VALUE(REGEXREPLACE(T3:T33,""[^\d]"","""")),0)))"),0.0)</f>
        <v>0</v>
      </c>
      <c r="U36" s="86">
        <f>IFERROR(__xludf.DUMMYFUNCTION("SUM(ARRAYFORMULA(IFERROR(VALUE(REGEXREPLACE(U3:U33,""[^\d]"","""")),0)))"),0.0)</f>
        <v>0</v>
      </c>
      <c r="V36" s="86">
        <f>SUM(V3:V33)</f>
        <v>248</v>
      </c>
    </row>
    <row r="37">
      <c r="A37" s="74"/>
      <c r="B37" s="118"/>
      <c r="C37" s="44" t="s">
        <v>71</v>
      </c>
      <c r="D37" s="122">
        <f>'July Sales &amp; Employee Expense f'!D39</f>
        <v>3221.09</v>
      </c>
    </row>
    <row r="38">
      <c r="A38" s="74" t="s">
        <v>63</v>
      </c>
      <c r="B38" s="118">
        <f>C34+F34+I34+L34</f>
        <v>12980.34</v>
      </c>
      <c r="C38" s="44" t="s">
        <v>73</v>
      </c>
      <c r="D38" s="116">
        <f>sum(H46:H53)</f>
        <v>3745.5</v>
      </c>
    </row>
    <row r="39">
      <c r="A39" s="74" t="s">
        <v>64</v>
      </c>
      <c r="B39" s="118">
        <f>D34+G34+J34+M34</f>
        <v>39301.61</v>
      </c>
      <c r="C39" s="44" t="s">
        <v>75</v>
      </c>
      <c r="D39" s="122">
        <f>B38+D37-H58</f>
        <v>6615.56</v>
      </c>
      <c r="E39" s="7"/>
      <c r="F39" s="7"/>
      <c r="G39" s="7"/>
      <c r="H39" s="7"/>
      <c r="I39" s="7"/>
    </row>
    <row r="40">
      <c r="A40" s="78"/>
      <c r="B40" s="79"/>
      <c r="E40" s="7"/>
      <c r="F40" s="7"/>
      <c r="G40" s="7"/>
      <c r="H40" s="7"/>
      <c r="I40" s="7"/>
    </row>
    <row r="41">
      <c r="A41" s="81" t="s">
        <v>65</v>
      </c>
      <c r="B41" s="118">
        <f>sum(B38:B39)</f>
        <v>52281.95</v>
      </c>
      <c r="D41" s="81" t="s">
        <v>122</v>
      </c>
      <c r="E41" s="118">
        <f>sum(H58+L59+S59)</f>
        <v>41979.64</v>
      </c>
      <c r="F41" s="7"/>
      <c r="G41" s="81" t="s">
        <v>125</v>
      </c>
      <c r="H41" s="118">
        <f>B41-E41</f>
        <v>10302.31</v>
      </c>
      <c r="I41" s="7"/>
    </row>
    <row r="42">
      <c r="A42" s="80"/>
      <c r="B42" s="80"/>
      <c r="E42" s="7"/>
      <c r="F42" s="7"/>
      <c r="G42" s="7"/>
      <c r="H42" s="7"/>
      <c r="I42" s="7"/>
    </row>
    <row r="43">
      <c r="A43" s="105" t="s">
        <v>76</v>
      </c>
      <c r="J43" s="106" t="s">
        <v>77</v>
      </c>
      <c r="P43" s="152"/>
      <c r="Q43" s="153" t="s">
        <v>128</v>
      </c>
      <c r="T43" s="152"/>
      <c r="U43" s="152"/>
    </row>
    <row r="44">
      <c r="P44" s="152"/>
      <c r="Q44" s="152"/>
      <c r="R44" s="152"/>
      <c r="S44" s="152"/>
      <c r="T44" s="152"/>
      <c r="U44" s="152"/>
    </row>
    <row r="45">
      <c r="A45" s="107" t="s">
        <v>78</v>
      </c>
      <c r="B45" s="107" t="s">
        <v>79</v>
      </c>
      <c r="C45" s="107" t="s">
        <v>12</v>
      </c>
      <c r="D45" s="107" t="s">
        <v>130</v>
      </c>
      <c r="E45" s="107" t="s">
        <v>131</v>
      </c>
      <c r="F45" s="107" t="s">
        <v>80</v>
      </c>
      <c r="G45" s="107" t="s">
        <v>81</v>
      </c>
      <c r="H45" s="108" t="s">
        <v>82</v>
      </c>
      <c r="I45" s="108" t="s">
        <v>84</v>
      </c>
      <c r="K45" s="55" t="s">
        <v>1</v>
      </c>
      <c r="L45" s="117" t="s">
        <v>102</v>
      </c>
      <c r="M45" s="55" t="s">
        <v>103</v>
      </c>
      <c r="N45" s="55" t="s">
        <v>104</v>
      </c>
      <c r="O45" s="55" t="s">
        <v>105</v>
      </c>
      <c r="P45" s="55" t="s">
        <v>133</v>
      </c>
      <c r="Q45" s="44"/>
      <c r="R45" s="156" t="s">
        <v>1</v>
      </c>
      <c r="S45" s="160" t="s">
        <v>102</v>
      </c>
      <c r="T45" s="156" t="s">
        <v>103</v>
      </c>
      <c r="U45" s="161" t="s">
        <v>104</v>
      </c>
      <c r="V45" s="161" t="s">
        <v>105</v>
      </c>
      <c r="W45" s="161" t="s">
        <v>133</v>
      </c>
    </row>
    <row r="46">
      <c r="A46" s="109"/>
      <c r="B46" s="110" t="s">
        <v>18</v>
      </c>
      <c r="C46" s="112">
        <f>sumproduct((R3:U33="Siri")*V3:V33)</f>
        <v>140</v>
      </c>
      <c r="D46" s="110"/>
      <c r="E46" s="110">
        <f t="shared" ref="E46:E52" si="13">C46-D46</f>
        <v>140</v>
      </c>
      <c r="F46" s="110">
        <f>E46*10</f>
        <v>1400</v>
      </c>
      <c r="G46" s="110">
        <f t="shared" ref="G46:G54" si="14">sum(F46+A46)</f>
        <v>1400</v>
      </c>
      <c r="H46" s="110">
        <v>690.0</v>
      </c>
      <c r="I46" s="112">
        <f t="shared" ref="I46:I54" si="15">H46-G46</f>
        <v>-710</v>
      </c>
      <c r="K46" s="169">
        <v>46237.0</v>
      </c>
      <c r="L46" s="141" t="s">
        <v>138</v>
      </c>
      <c r="M46" s="172">
        <v>223.69</v>
      </c>
      <c r="N46" s="55"/>
      <c r="O46" s="120"/>
      <c r="P46" s="174"/>
      <c r="Q46" s="176"/>
      <c r="R46" s="177">
        <v>46237.0</v>
      </c>
      <c r="S46" s="161" t="s">
        <v>141</v>
      </c>
      <c r="T46" s="161"/>
      <c r="U46" s="161"/>
      <c r="V46" s="161"/>
      <c r="W46" s="180">
        <v>2291.02</v>
      </c>
    </row>
    <row r="47">
      <c r="A47" s="123"/>
      <c r="B47" s="110" t="s">
        <v>29</v>
      </c>
      <c r="C47" s="112">
        <f>sumproduct((R3:U33="Sam")*V3:V33)</f>
        <v>68</v>
      </c>
      <c r="D47" s="110">
        <v>1.5</v>
      </c>
      <c r="E47" s="110">
        <f t="shared" si="13"/>
        <v>66.5</v>
      </c>
      <c r="F47" s="110">
        <f>E47*14</f>
        <v>931</v>
      </c>
      <c r="G47" s="110">
        <f t="shared" si="14"/>
        <v>931</v>
      </c>
      <c r="H47" s="110">
        <f>553</f>
        <v>553</v>
      </c>
      <c r="I47" s="112">
        <f t="shared" si="15"/>
        <v>-378</v>
      </c>
      <c r="K47" s="169">
        <v>46237.0</v>
      </c>
      <c r="L47" s="55" t="s">
        <v>154</v>
      </c>
      <c r="M47" s="185">
        <v>319.95</v>
      </c>
      <c r="N47" s="55"/>
      <c r="O47" s="120"/>
      <c r="P47" s="120"/>
      <c r="R47" s="187"/>
      <c r="S47" s="188" t="s">
        <v>164</v>
      </c>
      <c r="T47" s="189"/>
      <c r="U47" s="161"/>
      <c r="V47" s="161"/>
      <c r="W47" s="190">
        <v>26000.0</v>
      </c>
    </row>
    <row r="48">
      <c r="A48" s="131"/>
      <c r="B48" s="110" t="s">
        <v>19</v>
      </c>
      <c r="C48" s="112">
        <f>sumproduct((R3:U33="Dan")*V3:V33)</f>
        <v>189</v>
      </c>
      <c r="D48" s="110">
        <v>1.5</v>
      </c>
      <c r="E48" s="110">
        <f t="shared" si="13"/>
        <v>187.5</v>
      </c>
      <c r="F48" s="112">
        <f t="shared" ref="F48:F49" si="16">E48*11</f>
        <v>2062.5</v>
      </c>
      <c r="G48" s="110">
        <f t="shared" si="14"/>
        <v>2062.5</v>
      </c>
      <c r="H48" s="110">
        <f>500+484.5</f>
        <v>984.5</v>
      </c>
      <c r="I48" s="112">
        <f t="shared" si="15"/>
        <v>-1078</v>
      </c>
      <c r="J48" s="149"/>
      <c r="K48" s="169">
        <v>46237.0</v>
      </c>
      <c r="L48" s="55" t="s">
        <v>177</v>
      </c>
      <c r="M48" s="194">
        <v>445.12</v>
      </c>
      <c r="N48" s="55"/>
      <c r="O48" s="120"/>
      <c r="P48" s="120"/>
      <c r="R48" s="187"/>
      <c r="S48" s="190" t="s">
        <v>178</v>
      </c>
      <c r="T48" s="195"/>
      <c r="U48" s="161"/>
      <c r="V48" s="161"/>
      <c r="W48" s="190">
        <v>67.17</v>
      </c>
    </row>
    <row r="49">
      <c r="A49" s="123"/>
      <c r="B49" s="110" t="s">
        <v>42</v>
      </c>
      <c r="C49" s="112">
        <f>sumproduct((R3:U33="Srinivas")*V3:V33)</f>
        <v>57</v>
      </c>
      <c r="D49" s="112"/>
      <c r="E49" s="110">
        <f t="shared" si="13"/>
        <v>57</v>
      </c>
      <c r="F49" s="112">
        <f t="shared" si="16"/>
        <v>627</v>
      </c>
      <c r="G49" s="110">
        <f t="shared" si="14"/>
        <v>627</v>
      </c>
      <c r="H49" s="110">
        <f>209+209</f>
        <v>418</v>
      </c>
      <c r="I49" s="112">
        <f t="shared" si="15"/>
        <v>-209</v>
      </c>
      <c r="K49" s="169">
        <v>46237.0</v>
      </c>
      <c r="L49" s="55" t="s">
        <v>179</v>
      </c>
      <c r="M49" s="196">
        <v>422.95</v>
      </c>
      <c r="N49" s="55"/>
      <c r="O49" s="120"/>
      <c r="P49" s="120"/>
      <c r="R49" s="187"/>
      <c r="S49" s="190" t="s">
        <v>180</v>
      </c>
      <c r="T49" s="197"/>
      <c r="U49" s="161"/>
      <c r="V49" s="161"/>
      <c r="W49" s="190">
        <v>231.7</v>
      </c>
    </row>
    <row r="50">
      <c r="A50" s="112"/>
      <c r="B50" s="110" t="s">
        <v>25</v>
      </c>
      <c r="C50" s="112">
        <f>sumproduct((R3:U33="Sumanth")*V3:V33)</f>
        <v>79</v>
      </c>
      <c r="D50" s="110"/>
      <c r="E50" s="110">
        <f t="shared" si="13"/>
        <v>79</v>
      </c>
      <c r="F50" s="110">
        <f t="shared" ref="F50:F52" si="17">E50*10</f>
        <v>790</v>
      </c>
      <c r="G50" s="110">
        <f t="shared" si="14"/>
        <v>790</v>
      </c>
      <c r="H50" s="110">
        <f>590</f>
        <v>590</v>
      </c>
      <c r="I50" s="112">
        <f t="shared" si="15"/>
        <v>-200</v>
      </c>
      <c r="K50" s="198">
        <v>46244.0</v>
      </c>
      <c r="L50" s="199" t="s">
        <v>138</v>
      </c>
      <c r="M50" s="199">
        <v>1016.88</v>
      </c>
      <c r="N50" s="55"/>
      <c r="O50" s="120"/>
      <c r="P50" s="120"/>
      <c r="R50" s="187"/>
      <c r="S50" s="161"/>
      <c r="T50" s="200"/>
      <c r="U50" s="161"/>
      <c r="V50" s="161"/>
      <c r="W50" s="161"/>
    </row>
    <row r="51">
      <c r="A51" s="112"/>
      <c r="B51" s="44" t="s">
        <v>47</v>
      </c>
      <c r="C51" s="112">
        <f>sumproduct((R3:U33="m")*V3:V33)</f>
        <v>10</v>
      </c>
      <c r="D51" s="110"/>
      <c r="E51" s="110">
        <f t="shared" si="13"/>
        <v>10</v>
      </c>
      <c r="F51" s="110">
        <f t="shared" si="17"/>
        <v>100</v>
      </c>
      <c r="G51" s="110">
        <f t="shared" si="14"/>
        <v>100</v>
      </c>
      <c r="H51" s="110">
        <f>100</f>
        <v>100</v>
      </c>
      <c r="I51" s="112">
        <f t="shared" si="15"/>
        <v>0</v>
      </c>
      <c r="K51" s="198">
        <v>46254.0</v>
      </c>
      <c r="L51" s="55" t="s">
        <v>138</v>
      </c>
      <c r="M51" s="201">
        <v>911.53</v>
      </c>
      <c r="N51" s="120"/>
      <c r="O51" s="120"/>
      <c r="P51" s="120"/>
      <c r="R51" s="161"/>
      <c r="S51" s="161"/>
      <c r="T51" s="161"/>
      <c r="U51" s="161"/>
      <c r="V51" s="161"/>
      <c r="W51" s="161"/>
    </row>
    <row r="52">
      <c r="A52" s="110"/>
      <c r="B52" s="110" t="s">
        <v>49</v>
      </c>
      <c r="C52" s="112">
        <f>sumproduct((R4:U34="Revanth")*V4:V34)</f>
        <v>41</v>
      </c>
      <c r="D52" s="110"/>
      <c r="E52" s="110">
        <f t="shared" si="13"/>
        <v>41</v>
      </c>
      <c r="F52" s="110">
        <f t="shared" si="17"/>
        <v>410</v>
      </c>
      <c r="G52" s="110">
        <f t="shared" si="14"/>
        <v>410</v>
      </c>
      <c r="H52" s="110">
        <f>410</f>
        <v>410</v>
      </c>
      <c r="I52" s="112">
        <f t="shared" si="15"/>
        <v>0</v>
      </c>
      <c r="K52" s="202">
        <v>46254.0</v>
      </c>
      <c r="L52" s="55" t="s">
        <v>154</v>
      </c>
      <c r="M52" s="203">
        <v>198.51</v>
      </c>
      <c r="N52" s="55"/>
      <c r="O52" s="120"/>
      <c r="P52" s="120"/>
      <c r="R52" s="161"/>
      <c r="S52" s="161"/>
      <c r="T52" s="161"/>
      <c r="U52" s="161"/>
      <c r="V52" s="161"/>
      <c r="W52" s="161"/>
    </row>
    <row r="53">
      <c r="B53" s="138"/>
      <c r="C53" s="110"/>
      <c r="D53" s="110"/>
      <c r="E53" s="110"/>
      <c r="F53" s="110">
        <f t="shared" ref="F53:F54" si="18">C53*10</f>
        <v>0</v>
      </c>
      <c r="G53" s="110">
        <f t="shared" si="14"/>
        <v>0</v>
      </c>
      <c r="H53" s="110"/>
      <c r="I53" s="112">
        <f t="shared" si="15"/>
        <v>0</v>
      </c>
      <c r="K53" s="204">
        <v>46256.0</v>
      </c>
      <c r="L53" s="55" t="s">
        <v>138</v>
      </c>
      <c r="M53" s="205">
        <v>265.25</v>
      </c>
      <c r="N53" s="55"/>
      <c r="O53" s="120"/>
      <c r="P53" s="120"/>
      <c r="R53" s="161"/>
      <c r="S53" s="161"/>
      <c r="T53" s="161"/>
      <c r="U53" s="161"/>
      <c r="V53" s="161"/>
      <c r="W53" s="161"/>
    </row>
    <row r="54">
      <c r="B54" s="138"/>
      <c r="C54" s="110"/>
      <c r="D54" s="110"/>
      <c r="E54" s="110"/>
      <c r="F54" s="110">
        <f t="shared" si="18"/>
        <v>0</v>
      </c>
      <c r="G54" s="110">
        <f t="shared" si="14"/>
        <v>0</v>
      </c>
      <c r="H54" s="110"/>
      <c r="I54" s="112">
        <f t="shared" si="15"/>
        <v>0</v>
      </c>
      <c r="K54" s="202">
        <v>46256.0</v>
      </c>
      <c r="L54" s="55" t="s">
        <v>234</v>
      </c>
      <c r="M54" s="55" t="s">
        <v>235</v>
      </c>
      <c r="N54" s="55"/>
      <c r="O54" s="120"/>
      <c r="P54" s="120"/>
      <c r="R54" s="161"/>
      <c r="S54" s="161"/>
      <c r="T54" s="161"/>
      <c r="U54" s="161"/>
      <c r="V54" s="161"/>
      <c r="W54" s="161"/>
    </row>
    <row r="55">
      <c r="A55" s="110"/>
      <c r="B55" s="145" t="s">
        <v>16</v>
      </c>
      <c r="C55" s="144"/>
      <c r="D55" s="145"/>
      <c r="E55" s="145"/>
      <c r="F55" s="145">
        <v>2100.0</v>
      </c>
      <c r="G55" s="110"/>
      <c r="H55" s="145">
        <f>2100+2100</f>
        <v>4200</v>
      </c>
      <c r="I55" s="112"/>
      <c r="K55" s="120"/>
      <c r="L55" s="120"/>
      <c r="M55" s="120"/>
      <c r="N55" s="120"/>
      <c r="O55" s="120"/>
      <c r="P55" s="120"/>
      <c r="R55" s="161"/>
      <c r="S55" s="161"/>
      <c r="T55" s="161"/>
      <c r="U55" s="161"/>
      <c r="V55" s="161"/>
      <c r="W55" s="161"/>
    </row>
    <row r="56">
      <c r="A56" s="145"/>
      <c r="B56" s="55" t="s">
        <v>20</v>
      </c>
      <c r="C56" s="55"/>
      <c r="D56" s="55"/>
      <c r="E56" s="55"/>
      <c r="F56" s="55">
        <v>1600.0</v>
      </c>
      <c r="G56" s="145">
        <f>sum(F56+A57)</f>
        <v>1600</v>
      </c>
      <c r="H56" s="55">
        <f>1000+600</f>
        <v>1600</v>
      </c>
      <c r="I56" s="144">
        <f>H56-G56</f>
        <v>0</v>
      </c>
      <c r="K56" s="120"/>
      <c r="L56" s="120"/>
      <c r="M56" s="120"/>
      <c r="N56" s="120"/>
      <c r="O56" s="120"/>
      <c r="P56" s="120"/>
      <c r="R56" s="161"/>
      <c r="S56" s="161"/>
      <c r="T56" s="161"/>
      <c r="U56" s="161"/>
      <c r="V56" s="161"/>
      <c r="W56" s="161"/>
    </row>
    <row r="57">
      <c r="A57" s="120"/>
      <c r="B57" s="55" t="s">
        <v>236</v>
      </c>
      <c r="C57" s="120"/>
      <c r="D57" s="120"/>
      <c r="E57" s="120"/>
      <c r="F57" s="120"/>
      <c r="G57" s="120"/>
      <c r="H57" s="55">
        <v>40.37</v>
      </c>
      <c r="I57" s="120"/>
      <c r="K57" s="120"/>
      <c r="L57" s="120"/>
      <c r="M57" s="120"/>
      <c r="N57" s="120"/>
      <c r="O57" s="120"/>
      <c r="P57" s="120"/>
      <c r="R57" s="161"/>
      <c r="S57" s="161"/>
      <c r="T57" s="161"/>
      <c r="U57" s="161"/>
      <c r="V57" s="161"/>
      <c r="W57" s="161"/>
    </row>
    <row r="58">
      <c r="A58" s="120"/>
      <c r="B58" s="120"/>
      <c r="C58" s="120">
        <f>sum(C46:C56)</f>
        <v>584</v>
      </c>
      <c r="D58" s="120"/>
      <c r="E58" s="120"/>
      <c r="F58" s="120">
        <f>sum(F46:F56)</f>
        <v>10020.5</v>
      </c>
      <c r="G58" s="120">
        <f>sum(G46:G55)</f>
        <v>6320.5</v>
      </c>
      <c r="H58" s="55">
        <f>sum(H46:H57)</f>
        <v>9585.87</v>
      </c>
      <c r="I58" s="147">
        <f>sum(I46:I55)</f>
        <v>-2575</v>
      </c>
      <c r="K58" s="120"/>
      <c r="L58" s="120"/>
      <c r="M58" s="120"/>
      <c r="N58" s="120"/>
      <c r="O58" s="120"/>
      <c r="P58" s="120"/>
      <c r="R58" s="161"/>
      <c r="S58" s="161"/>
      <c r="T58" s="161"/>
      <c r="U58" s="161"/>
      <c r="V58" s="161"/>
      <c r="W58" s="161"/>
    </row>
    <row r="59">
      <c r="A59" s="105" t="s">
        <v>10</v>
      </c>
      <c r="B59" s="105">
        <f>sum(H46:I55)</f>
        <v>5370.5</v>
      </c>
      <c r="C59" s="69"/>
      <c r="F59" s="44"/>
      <c r="G59" s="68"/>
      <c r="K59" s="206" t="s">
        <v>10</v>
      </c>
      <c r="L59" s="207">
        <f>sum(M46:P58)</f>
        <v>3803.88</v>
      </c>
      <c r="R59" s="208" t="s">
        <v>10</v>
      </c>
      <c r="S59" s="209">
        <f>sum(T46:W58)</f>
        <v>28589.89</v>
      </c>
      <c r="T59" s="152"/>
      <c r="U59" s="152"/>
    </row>
    <row r="60">
      <c r="F60" s="44"/>
      <c r="G60" s="68"/>
      <c r="I60" s="155"/>
      <c r="P60" s="210"/>
      <c r="Q60" s="211"/>
      <c r="R60" s="152"/>
      <c r="S60" s="152"/>
      <c r="T60" s="152"/>
      <c r="U60" s="152"/>
    </row>
    <row r="61">
      <c r="A61" s="157"/>
      <c r="B61" s="157"/>
      <c r="C61" s="158"/>
      <c r="G61" s="44"/>
      <c r="H61" s="68"/>
    </row>
    <row r="62">
      <c r="A62" s="40"/>
      <c r="B62" s="95"/>
      <c r="C62" s="97"/>
      <c r="D62" s="98"/>
      <c r="E62" s="98"/>
      <c r="F62" s="98"/>
      <c r="G62" s="44"/>
      <c r="H62" s="68"/>
    </row>
    <row r="63">
      <c r="A63" s="40"/>
      <c r="B63" s="95"/>
      <c r="C63" s="97"/>
      <c r="D63" s="98"/>
      <c r="E63" s="98"/>
      <c r="G63" s="44"/>
      <c r="H63" s="68"/>
    </row>
    <row r="64">
      <c r="A64" s="40"/>
      <c r="B64" s="95"/>
      <c r="C64" s="97"/>
      <c r="D64" s="98"/>
      <c r="F64" s="44"/>
      <c r="G64" s="44"/>
      <c r="H64" s="101"/>
    </row>
    <row r="65">
      <c r="A65" s="40"/>
      <c r="B65" s="40">
        <v>24000.0</v>
      </c>
      <c r="C65" s="97"/>
      <c r="D65" s="98"/>
      <c r="E65" s="98"/>
      <c r="F65" s="44"/>
      <c r="G65" s="44"/>
      <c r="H65" s="101"/>
    </row>
    <row r="66">
      <c r="A66" s="40"/>
      <c r="B66" s="40">
        <v>15000.0</v>
      </c>
      <c r="C66" s="97"/>
      <c r="D66" s="98"/>
      <c r="E66" s="98"/>
      <c r="F66" s="44"/>
      <c r="G66" s="44"/>
      <c r="H66" s="68"/>
      <c r="I66" s="104"/>
      <c r="J66" s="104"/>
      <c r="K66" s="104"/>
      <c r="L66" s="104"/>
      <c r="M66" s="104"/>
    </row>
    <row r="67">
      <c r="A67" s="40"/>
      <c r="B67" s="40">
        <v>8500.0</v>
      </c>
      <c r="C67" s="97"/>
      <c r="D67" s="98"/>
      <c r="E67" s="98"/>
      <c r="F67" s="98"/>
      <c r="G67" s="44"/>
      <c r="H67" s="68"/>
    </row>
    <row r="68">
      <c r="A68" s="40"/>
      <c r="B68" s="40">
        <v>22000.0</v>
      </c>
      <c r="C68" s="97"/>
      <c r="D68" s="98"/>
      <c r="E68" s="98"/>
      <c r="F68" s="98"/>
      <c r="G68" s="44"/>
      <c r="H68" s="68"/>
    </row>
    <row r="69">
      <c r="A69" s="40"/>
      <c r="B69" s="95"/>
      <c r="C69" s="97"/>
      <c r="D69" s="98"/>
      <c r="E69" s="98"/>
      <c r="F69" s="98"/>
      <c r="G69" s="44"/>
      <c r="H69" s="68"/>
    </row>
    <row r="70">
      <c r="A70" s="40"/>
      <c r="B70" s="95"/>
      <c r="C70" s="97"/>
      <c r="D70" s="98"/>
      <c r="E70" s="98"/>
      <c r="F70" s="98"/>
      <c r="G70" s="44"/>
      <c r="H70" s="68"/>
    </row>
    <row r="71">
      <c r="A71" s="40"/>
      <c r="B71" s="95">
        <f>B65+B66+B67+B68+B69</f>
        <v>69500</v>
      </c>
      <c r="C71" s="97"/>
      <c r="D71" s="98"/>
      <c r="E71" s="98"/>
      <c r="F71" s="98"/>
      <c r="G71" s="44"/>
      <c r="H71" s="68"/>
    </row>
    <row r="72">
      <c r="A72" s="40"/>
      <c r="B72" s="95"/>
      <c r="C72" s="97"/>
      <c r="D72" s="98"/>
      <c r="E72" s="98"/>
      <c r="F72" s="98"/>
      <c r="G72" s="44"/>
      <c r="H72" s="93"/>
    </row>
    <row r="73">
      <c r="A73" s="40"/>
      <c r="B73" s="95"/>
      <c r="C73" s="97"/>
      <c r="D73" s="98"/>
      <c r="E73" s="98"/>
      <c r="F73" s="98"/>
      <c r="G73" s="44"/>
      <c r="H73" s="101"/>
    </row>
    <row r="74">
      <c r="A74" s="40"/>
      <c r="B74" s="95"/>
      <c r="C74" s="97"/>
      <c r="D74" s="98"/>
      <c r="E74" s="98"/>
      <c r="F74" s="98"/>
      <c r="G74" s="44"/>
      <c r="H74" s="68"/>
    </row>
    <row r="75">
      <c r="A75" s="40"/>
      <c r="B75" s="95"/>
      <c r="C75" s="97"/>
      <c r="D75" s="98"/>
      <c r="E75" s="98"/>
      <c r="F75" s="98"/>
      <c r="G75" s="44"/>
      <c r="H75" s="68"/>
      <c r="I75" s="111"/>
      <c r="N75" s="98"/>
    </row>
    <row r="76">
      <c r="A76" s="40"/>
      <c r="B76" s="95"/>
      <c r="C76" s="97"/>
      <c r="D76" s="98"/>
      <c r="E76" s="98"/>
      <c r="F76" s="98"/>
      <c r="G76" s="44"/>
      <c r="I76" s="111"/>
      <c r="N76" s="98"/>
    </row>
    <row r="77">
      <c r="A77" s="40"/>
      <c r="B77" s="95"/>
      <c r="C77" s="97"/>
      <c r="D77" s="98"/>
      <c r="E77" s="98"/>
      <c r="F77" s="98"/>
      <c r="G77" s="44"/>
      <c r="I77" s="111"/>
      <c r="N77" s="98"/>
    </row>
    <row r="78">
      <c r="A78" s="40"/>
      <c r="B78" s="95"/>
      <c r="C78" s="97"/>
      <c r="D78" s="98"/>
      <c r="E78" s="98"/>
      <c r="F78" s="98"/>
      <c r="G78" s="44"/>
      <c r="I78" s="111"/>
      <c r="N78" s="98"/>
    </row>
    <row r="79">
      <c r="A79" s="40"/>
      <c r="B79" s="95"/>
      <c r="C79" s="97"/>
      <c r="D79" s="98"/>
      <c r="E79" s="98"/>
      <c r="F79" s="98"/>
      <c r="G79" s="44"/>
      <c r="I79" s="111"/>
      <c r="N79" s="98"/>
    </row>
    <row r="80">
      <c r="A80" s="40"/>
      <c r="B80" s="95"/>
      <c r="C80" s="97"/>
      <c r="D80" s="98"/>
      <c r="E80" s="98"/>
      <c r="F80" s="98"/>
      <c r="G80" s="44"/>
      <c r="I80" s="111"/>
      <c r="N80" s="98"/>
    </row>
    <row r="81">
      <c r="A81" s="69"/>
      <c r="B81" s="69"/>
      <c r="C81" s="69"/>
      <c r="D81" s="69"/>
      <c r="E81" s="69"/>
      <c r="F81" s="69"/>
      <c r="G81" s="69"/>
    </row>
    <row r="82">
      <c r="A82" s="69"/>
      <c r="B82" s="69"/>
      <c r="C82" s="69"/>
      <c r="D82" s="69"/>
      <c r="E82" s="69"/>
      <c r="F82" s="69"/>
      <c r="G82" s="69"/>
    </row>
    <row r="83">
      <c r="A83" s="69"/>
      <c r="B83" s="69"/>
      <c r="C83" s="69"/>
      <c r="D83" s="69"/>
      <c r="E83" s="69"/>
      <c r="F83" s="69"/>
      <c r="G83" s="69"/>
    </row>
    <row r="85">
      <c r="A85" s="178"/>
      <c r="B85" s="179"/>
    </row>
    <row r="89">
      <c r="G89" s="181"/>
    </row>
    <row r="93">
      <c r="M93" s="192"/>
      <c r="N93" s="192"/>
      <c r="O93" s="192"/>
      <c r="P93" s="192"/>
    </row>
    <row r="94">
      <c r="M94" s="192"/>
      <c r="N94" s="192"/>
      <c r="O94" s="192"/>
      <c r="P94" s="192"/>
    </row>
    <row r="95">
      <c r="M95" s="192"/>
      <c r="N95" s="192"/>
      <c r="O95" s="192"/>
      <c r="P95" s="192"/>
    </row>
    <row r="96">
      <c r="M96" s="192"/>
      <c r="N96" s="193"/>
      <c r="O96" s="193"/>
      <c r="P96" s="192"/>
    </row>
    <row r="97">
      <c r="M97" s="193"/>
      <c r="N97" s="193"/>
      <c r="O97" s="193"/>
      <c r="P97" s="192"/>
    </row>
    <row r="98">
      <c r="M98" s="192"/>
      <c r="N98" s="193"/>
      <c r="O98" s="193"/>
      <c r="P98" s="192"/>
    </row>
    <row r="99">
      <c r="M99" s="192"/>
      <c r="N99" s="193"/>
      <c r="O99" s="193"/>
      <c r="P99" s="192"/>
    </row>
    <row r="100">
      <c r="M100" s="192"/>
      <c r="N100" s="193"/>
      <c r="O100" s="193"/>
      <c r="P100" s="192"/>
    </row>
    <row r="101">
      <c r="M101" s="192"/>
      <c r="N101" s="193"/>
      <c r="O101" s="193"/>
      <c r="P101" s="192"/>
    </row>
    <row r="102">
      <c r="M102" s="192"/>
      <c r="N102" s="193"/>
      <c r="O102" s="193"/>
      <c r="P102" s="192"/>
    </row>
    <row r="103">
      <c r="M103" s="192"/>
      <c r="N103" s="193"/>
      <c r="O103" s="193"/>
      <c r="P103" s="192"/>
    </row>
    <row r="104">
      <c r="M104" s="192"/>
      <c r="N104" s="193"/>
      <c r="O104" s="193"/>
      <c r="P104" s="192"/>
    </row>
    <row r="105">
      <c r="M105" s="192"/>
      <c r="N105" s="192"/>
      <c r="O105" s="192"/>
      <c r="P105" s="192"/>
    </row>
    <row r="106">
      <c r="M106" s="193"/>
      <c r="N106" s="193"/>
      <c r="O106" s="193"/>
      <c r="P106" s="192"/>
    </row>
    <row r="107">
      <c r="M107" s="192"/>
      <c r="N107" s="193"/>
      <c r="O107" s="193"/>
      <c r="P107" s="192"/>
    </row>
    <row r="108">
      <c r="M108" s="192"/>
      <c r="N108" s="193"/>
      <c r="O108" s="193"/>
      <c r="P108" s="192"/>
    </row>
    <row r="109">
      <c r="M109" s="192"/>
      <c r="N109" s="193"/>
      <c r="O109" s="193"/>
      <c r="P109" s="192"/>
    </row>
    <row r="110">
      <c r="M110" s="192"/>
      <c r="N110" s="193"/>
      <c r="O110" s="193"/>
      <c r="P110" s="192"/>
    </row>
    <row r="111">
      <c r="M111" s="192"/>
      <c r="N111" s="192"/>
      <c r="O111" s="192"/>
      <c r="P111" s="192"/>
    </row>
    <row r="112">
      <c r="M112" s="193"/>
      <c r="N112" s="193"/>
      <c r="O112" s="193"/>
      <c r="P112" s="192"/>
    </row>
    <row r="113">
      <c r="M113" s="192"/>
      <c r="N113" s="193"/>
      <c r="O113" s="193"/>
      <c r="P113" s="192"/>
    </row>
    <row r="114">
      <c r="M114" s="192"/>
      <c r="N114" s="193"/>
      <c r="O114" s="193"/>
      <c r="P114" s="192"/>
    </row>
    <row r="115">
      <c r="M115" s="192"/>
      <c r="N115" s="192"/>
      <c r="O115" s="192"/>
      <c r="P115" s="192"/>
    </row>
    <row r="116">
      <c r="M116" s="193"/>
      <c r="N116" s="193"/>
      <c r="O116" s="193"/>
      <c r="P116" s="192"/>
    </row>
    <row r="117">
      <c r="M117" s="192"/>
      <c r="N117" s="193"/>
      <c r="O117" s="193"/>
      <c r="P117" s="192"/>
    </row>
    <row r="118">
      <c r="M118" s="192"/>
      <c r="N118" s="192"/>
      <c r="O118" s="192"/>
      <c r="P118" s="192"/>
    </row>
    <row r="131">
      <c r="H131" s="44" t="s">
        <v>181</v>
      </c>
    </row>
    <row r="132">
      <c r="H132" s="44" t="s">
        <v>182</v>
      </c>
      <c r="I132" s="44" t="s">
        <v>183</v>
      </c>
    </row>
    <row r="133">
      <c r="H133" s="44" t="s">
        <v>184</v>
      </c>
      <c r="I133" s="44" t="s">
        <v>185</v>
      </c>
    </row>
    <row r="134">
      <c r="H134" s="44" t="s">
        <v>186</v>
      </c>
      <c r="I134" s="44" t="s">
        <v>187</v>
      </c>
    </row>
    <row r="135">
      <c r="H135" s="44" t="s">
        <v>188</v>
      </c>
      <c r="I135" s="44" t="s">
        <v>189</v>
      </c>
    </row>
    <row r="136">
      <c r="H136" s="44" t="s">
        <v>190</v>
      </c>
      <c r="I136" s="44" t="s">
        <v>191</v>
      </c>
    </row>
    <row r="137">
      <c r="H137" s="44" t="s">
        <v>192</v>
      </c>
      <c r="I137" s="44" t="s">
        <v>193</v>
      </c>
    </row>
    <row r="138">
      <c r="H138" s="44" t="s">
        <v>194</v>
      </c>
      <c r="I138" s="44" t="s">
        <v>193</v>
      </c>
    </row>
    <row r="140">
      <c r="H140" s="44" t="s">
        <v>195</v>
      </c>
    </row>
    <row r="141">
      <c r="H141" s="44" t="s">
        <v>196</v>
      </c>
      <c r="I141" s="44" t="s">
        <v>197</v>
      </c>
    </row>
    <row r="142">
      <c r="H142" s="44" t="s">
        <v>198</v>
      </c>
      <c r="I142" s="44" t="s">
        <v>199</v>
      </c>
    </row>
    <row r="143">
      <c r="H143" s="44" t="s">
        <v>200</v>
      </c>
      <c r="I143" s="44" t="s">
        <v>201</v>
      </c>
    </row>
    <row r="144">
      <c r="H144" s="44">
        <v>15.0</v>
      </c>
      <c r="I144" s="44" t="s">
        <v>202</v>
      </c>
    </row>
    <row r="145">
      <c r="H145" s="44" t="s">
        <v>203</v>
      </c>
      <c r="I145" s="44" t="s">
        <v>202</v>
      </c>
    </row>
    <row r="146">
      <c r="H146" s="44" t="s">
        <v>204</v>
      </c>
      <c r="I146" s="44" t="s">
        <v>205</v>
      </c>
    </row>
    <row r="147">
      <c r="H147" s="44" t="s">
        <v>206</v>
      </c>
      <c r="I147" s="44" t="s">
        <v>207</v>
      </c>
    </row>
    <row r="148">
      <c r="H148" s="44" t="s">
        <v>208</v>
      </c>
      <c r="I148" s="44" t="s">
        <v>209</v>
      </c>
    </row>
    <row r="149">
      <c r="H149" s="44" t="s">
        <v>210</v>
      </c>
      <c r="I149" s="44" t="s">
        <v>211</v>
      </c>
      <c r="J149" s="44" t="s">
        <v>212</v>
      </c>
    </row>
    <row r="150">
      <c r="I150" s="44" t="s">
        <v>213</v>
      </c>
      <c r="J150" s="44" t="s">
        <v>212</v>
      </c>
    </row>
    <row r="151">
      <c r="H151" s="44" t="s">
        <v>214</v>
      </c>
      <c r="I151" s="44" t="s">
        <v>215</v>
      </c>
      <c r="J151" s="44" t="s">
        <v>212</v>
      </c>
    </row>
    <row r="152">
      <c r="I152" s="44" t="s">
        <v>216</v>
      </c>
      <c r="J152" s="44" t="s">
        <v>212</v>
      </c>
    </row>
    <row r="153">
      <c r="H153" s="44" t="s">
        <v>217</v>
      </c>
      <c r="I153" s="44" t="s">
        <v>218</v>
      </c>
      <c r="J153" s="44" t="s">
        <v>212</v>
      </c>
    </row>
    <row r="154">
      <c r="H154" s="44" t="s">
        <v>219</v>
      </c>
      <c r="I154" s="44" t="s">
        <v>220</v>
      </c>
      <c r="J154" s="44" t="s">
        <v>221</v>
      </c>
    </row>
    <row r="155">
      <c r="I155" s="44" t="s">
        <v>222</v>
      </c>
      <c r="J155" s="44" t="s">
        <v>212</v>
      </c>
    </row>
    <row r="156">
      <c r="H156" s="44" t="s">
        <v>223</v>
      </c>
      <c r="I156" s="44" t="s">
        <v>224</v>
      </c>
      <c r="J156" s="44" t="s">
        <v>212</v>
      </c>
    </row>
    <row r="157">
      <c r="I157" s="44" t="s">
        <v>225</v>
      </c>
      <c r="J157" s="44" t="s">
        <v>212</v>
      </c>
    </row>
    <row r="158">
      <c r="I158" s="44" t="s">
        <v>226</v>
      </c>
      <c r="J158" s="44" t="s">
        <v>212</v>
      </c>
    </row>
    <row r="159">
      <c r="I159" s="44" t="s">
        <v>227</v>
      </c>
      <c r="J159" s="44" t="s">
        <v>228</v>
      </c>
    </row>
    <row r="161">
      <c r="H161" s="44" t="s">
        <v>229</v>
      </c>
    </row>
    <row r="162">
      <c r="H162" s="44" t="s">
        <v>230</v>
      </c>
      <c r="I162" s="44" t="s">
        <v>231</v>
      </c>
      <c r="J162" s="44" t="s">
        <v>221</v>
      </c>
    </row>
    <row r="163">
      <c r="H163" s="44" t="s">
        <v>204</v>
      </c>
      <c r="I163" s="44" t="s">
        <v>231</v>
      </c>
      <c r="J163" s="44" t="s">
        <v>232</v>
      </c>
    </row>
    <row r="164">
      <c r="I164" s="44" t="s">
        <v>233</v>
      </c>
      <c r="J164" s="44" t="s">
        <v>232</v>
      </c>
    </row>
    <row r="165">
      <c r="H165" s="44">
        <v>17.0</v>
      </c>
      <c r="I165" s="44" t="s">
        <v>233</v>
      </c>
      <c r="J165" s="44" t="s">
        <v>232</v>
      </c>
    </row>
    <row r="166">
      <c r="H166" s="44">
        <v>15.0</v>
      </c>
      <c r="I166" s="44" t="s">
        <v>233</v>
      </c>
      <c r="J166" s="44" t="s">
        <v>232</v>
      </c>
    </row>
  </sheetData>
  <mergeCells count="11">
    <mergeCell ref="B1:B2"/>
    <mergeCell ref="A43:C43"/>
    <mergeCell ref="J43:L43"/>
    <mergeCell ref="Q43:S43"/>
    <mergeCell ref="A1:A2"/>
    <mergeCell ref="C1:E1"/>
    <mergeCell ref="F1:H1"/>
    <mergeCell ref="I1:K1"/>
    <mergeCell ref="L1:N1"/>
    <mergeCell ref="O1:O2"/>
    <mergeCell ref="R1:V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63"/>
    <col customWidth="1" min="2" max="2" width="12.5"/>
    <col customWidth="1" min="3" max="3" width="13.88"/>
    <col customWidth="1" min="4" max="4" width="11.38"/>
    <col customWidth="1" min="5" max="5" width="9.75"/>
    <col customWidth="1" min="6" max="6" width="11.88"/>
    <col customWidth="1" min="7" max="7" width="11.13"/>
    <col customWidth="1" min="8" max="8" width="20.63"/>
    <col customWidth="1" min="9" max="9" width="12.88"/>
    <col customWidth="1" min="10" max="10" width="12.5"/>
    <col customWidth="1" min="11" max="12" width="10.88"/>
    <col customWidth="1" min="13" max="13" width="11.25"/>
    <col customWidth="1" min="14" max="14" width="11.63"/>
    <col customWidth="1" min="15" max="15" width="16.38"/>
    <col customWidth="1" min="16" max="16" width="11.25"/>
    <col customWidth="1" min="17" max="17" width="13.5"/>
    <col customWidth="1" min="18" max="18" width="9.75"/>
    <col customWidth="1" min="19" max="20" width="10.88"/>
    <col customWidth="1" min="21" max="21" width="9.13"/>
    <col customWidth="1" min="22" max="22" width="8.25"/>
    <col customWidth="1" min="23" max="23" width="16.13"/>
    <col customWidth="1" min="26" max="26" width="48.63"/>
  </cols>
  <sheetData>
    <row r="1">
      <c r="A1" s="1" t="s">
        <v>0</v>
      </c>
      <c r="B1" s="3" t="s">
        <v>1</v>
      </c>
      <c r="C1" s="5" t="s">
        <v>2</v>
      </c>
      <c r="D1" s="4"/>
      <c r="E1" s="6"/>
      <c r="F1" s="8" t="s">
        <v>3</v>
      </c>
      <c r="G1" s="4"/>
      <c r="H1" s="6"/>
      <c r="I1" s="9" t="s">
        <v>4</v>
      </c>
      <c r="J1" s="4"/>
      <c r="K1" s="6"/>
      <c r="L1" s="10" t="s">
        <v>5</v>
      </c>
      <c r="M1" s="4"/>
      <c r="N1" s="6"/>
      <c r="O1" s="12" t="s">
        <v>6</v>
      </c>
      <c r="P1" s="14"/>
      <c r="Q1" s="14"/>
      <c r="R1" s="14" t="s">
        <v>7</v>
      </c>
    </row>
    <row r="2">
      <c r="A2" s="16"/>
      <c r="B2" s="17"/>
      <c r="C2" s="18" t="s">
        <v>8</v>
      </c>
      <c r="D2" s="18" t="s">
        <v>9</v>
      </c>
      <c r="E2" s="18" t="s">
        <v>10</v>
      </c>
      <c r="F2" s="20" t="s">
        <v>8</v>
      </c>
      <c r="G2" s="20" t="s">
        <v>9</v>
      </c>
      <c r="H2" s="20" t="s">
        <v>10</v>
      </c>
      <c r="I2" s="22" t="s">
        <v>8</v>
      </c>
      <c r="J2" s="22" t="s">
        <v>9</v>
      </c>
      <c r="K2" s="22" t="s">
        <v>10</v>
      </c>
      <c r="L2" s="23" t="s">
        <v>8</v>
      </c>
      <c r="M2" s="23" t="s">
        <v>9</v>
      </c>
      <c r="N2" s="23" t="s">
        <v>10</v>
      </c>
      <c r="O2" s="16"/>
      <c r="P2" s="25"/>
      <c r="Q2" s="25"/>
      <c r="R2" s="25" t="s">
        <v>11</v>
      </c>
      <c r="S2" s="25" t="s">
        <v>3</v>
      </c>
      <c r="T2" s="25" t="s">
        <v>4</v>
      </c>
      <c r="U2" s="25" t="s">
        <v>5</v>
      </c>
      <c r="V2" s="25" t="s">
        <v>12</v>
      </c>
    </row>
    <row r="3">
      <c r="A3" s="34" t="str">
        <f t="shared" ref="A3:A33" si="1">text(B3,"dddd")</f>
        <v>Wednesday</v>
      </c>
      <c r="B3" s="31">
        <v>46204.0</v>
      </c>
      <c r="C3" s="33">
        <v>210.25</v>
      </c>
      <c r="D3" s="33">
        <v>280.37</v>
      </c>
      <c r="E3" s="35">
        <f t="shared" ref="E3:E10" si="2">C3+D3</f>
        <v>490.62</v>
      </c>
      <c r="F3" s="33">
        <v>250.0</v>
      </c>
      <c r="G3" s="33">
        <v>136.09</v>
      </c>
      <c r="H3" s="35">
        <f t="shared" ref="H3:H33" si="3">F3+G3</f>
        <v>386.09</v>
      </c>
      <c r="I3" s="33">
        <v>66.03</v>
      </c>
      <c r="J3" s="33">
        <v>147.64</v>
      </c>
      <c r="K3" s="35">
        <f t="shared" ref="K3:K33" si="4">I3+J3</f>
        <v>213.67</v>
      </c>
      <c r="L3" s="33">
        <v>124.49</v>
      </c>
      <c r="M3" s="33">
        <v>186.48</v>
      </c>
      <c r="N3" s="35">
        <f t="shared" ref="N3:N33" si="5">L3+M3</f>
        <v>310.97</v>
      </c>
      <c r="O3" s="38">
        <f t="shared" ref="O3:O33" si="6">SUM(E3+H3+K3+N3)</f>
        <v>1401.35</v>
      </c>
      <c r="P3" s="34" t="str">
        <f t="shared" ref="P3:P33" si="7">text(Q3,"dddd")</f>
        <v>Wednesday</v>
      </c>
      <c r="Q3" s="31">
        <v>46204.0</v>
      </c>
      <c r="R3" s="41" t="s">
        <v>16</v>
      </c>
      <c r="S3" s="42" t="s">
        <v>20</v>
      </c>
      <c r="T3" s="42" t="s">
        <v>19</v>
      </c>
      <c r="U3" s="42" t="s">
        <v>18</v>
      </c>
      <c r="V3" s="43">
        <v>10.0</v>
      </c>
      <c r="Y3" s="44">
        <v>1.0</v>
      </c>
      <c r="Z3" s="44" t="s">
        <v>23</v>
      </c>
    </row>
    <row r="4">
      <c r="A4" s="34" t="str">
        <f t="shared" si="1"/>
        <v>Thursday</v>
      </c>
      <c r="B4" s="31">
        <v>46205.0</v>
      </c>
      <c r="C4" s="33">
        <v>108.71</v>
      </c>
      <c r="D4" s="33">
        <v>706.68</v>
      </c>
      <c r="E4" s="35">
        <f t="shared" si="2"/>
        <v>815.39</v>
      </c>
      <c r="F4" s="33">
        <v>0.0</v>
      </c>
      <c r="G4" s="33">
        <v>427.6</v>
      </c>
      <c r="H4" s="35">
        <f t="shared" si="3"/>
        <v>427.6</v>
      </c>
      <c r="I4" s="33">
        <v>53.8</v>
      </c>
      <c r="J4" s="33">
        <v>239.03</v>
      </c>
      <c r="K4" s="35">
        <f t="shared" si="4"/>
        <v>292.83</v>
      </c>
      <c r="L4" s="33">
        <v>87.79</v>
      </c>
      <c r="M4" s="33">
        <v>149.15</v>
      </c>
      <c r="N4" s="35">
        <f t="shared" si="5"/>
        <v>236.94</v>
      </c>
      <c r="O4" s="38">
        <f t="shared" si="6"/>
        <v>1772.76</v>
      </c>
      <c r="P4" s="34" t="str">
        <f t="shared" si="7"/>
        <v>Thursday</v>
      </c>
      <c r="Q4" s="31">
        <v>46205.0</v>
      </c>
      <c r="R4" s="41" t="s">
        <v>16</v>
      </c>
      <c r="S4" s="42" t="s">
        <v>20</v>
      </c>
      <c r="T4" s="42" t="s">
        <v>19</v>
      </c>
      <c r="U4" s="44" t="s">
        <v>18</v>
      </c>
      <c r="V4" s="43">
        <v>10.0</v>
      </c>
      <c r="Y4" s="44">
        <v>2.0</v>
      </c>
      <c r="Z4" s="44" t="s">
        <v>27</v>
      </c>
    </row>
    <row r="5">
      <c r="A5" s="34" t="str">
        <f t="shared" si="1"/>
        <v>Friday</v>
      </c>
      <c r="B5" s="31">
        <v>46206.0</v>
      </c>
      <c r="C5" s="46">
        <v>146.24</v>
      </c>
      <c r="D5" s="46">
        <v>561.12</v>
      </c>
      <c r="E5" s="35">
        <f t="shared" si="2"/>
        <v>707.36</v>
      </c>
      <c r="F5" s="33">
        <v>200.0</v>
      </c>
      <c r="G5" s="33">
        <v>400.53</v>
      </c>
      <c r="H5" s="35">
        <f t="shared" si="3"/>
        <v>600.53</v>
      </c>
      <c r="I5" s="33">
        <v>219.5</v>
      </c>
      <c r="J5" s="33">
        <v>620.09</v>
      </c>
      <c r="K5" s="35">
        <f t="shared" si="4"/>
        <v>839.59</v>
      </c>
      <c r="L5" s="33">
        <v>63.71</v>
      </c>
      <c r="M5" s="33">
        <v>401.61</v>
      </c>
      <c r="N5" s="35">
        <f t="shared" si="5"/>
        <v>465.32</v>
      </c>
      <c r="O5" s="38">
        <f t="shared" si="6"/>
        <v>2612.8</v>
      </c>
      <c r="P5" s="34" t="str">
        <f t="shared" si="7"/>
        <v>Friday</v>
      </c>
      <c r="Q5" s="31">
        <v>46206.0</v>
      </c>
      <c r="R5" s="41" t="s">
        <v>28</v>
      </c>
      <c r="S5" s="42" t="s">
        <v>17</v>
      </c>
      <c r="T5" s="42" t="s">
        <v>19</v>
      </c>
      <c r="U5" s="42" t="s">
        <v>18</v>
      </c>
      <c r="V5" s="43">
        <v>11.0</v>
      </c>
      <c r="Y5" s="44">
        <v>3.0</v>
      </c>
      <c r="Z5" s="44" t="s">
        <v>30</v>
      </c>
    </row>
    <row r="6">
      <c r="A6" s="34" t="str">
        <f t="shared" si="1"/>
        <v>Saturday</v>
      </c>
      <c r="B6" s="31">
        <v>46207.0</v>
      </c>
      <c r="C6" s="46">
        <v>261.65</v>
      </c>
      <c r="D6" s="46">
        <v>472.98</v>
      </c>
      <c r="E6" s="35">
        <f t="shared" si="2"/>
        <v>734.63</v>
      </c>
      <c r="F6" s="33">
        <v>104.95</v>
      </c>
      <c r="G6" s="33">
        <v>238.15</v>
      </c>
      <c r="H6" s="35">
        <f t="shared" si="3"/>
        <v>343.1</v>
      </c>
      <c r="I6" s="33">
        <v>225.29</v>
      </c>
      <c r="J6" s="33">
        <v>180.22</v>
      </c>
      <c r="K6" s="35">
        <f t="shared" si="4"/>
        <v>405.51</v>
      </c>
      <c r="L6" s="33">
        <v>65.0</v>
      </c>
      <c r="M6" s="33">
        <v>452.51</v>
      </c>
      <c r="N6" s="35">
        <f t="shared" si="5"/>
        <v>517.51</v>
      </c>
      <c r="O6" s="38">
        <f t="shared" si="6"/>
        <v>2000.75</v>
      </c>
      <c r="P6" s="34" t="str">
        <f t="shared" si="7"/>
        <v>Saturday</v>
      </c>
      <c r="Q6" s="31">
        <v>46207.0</v>
      </c>
      <c r="R6" s="41" t="s">
        <v>28</v>
      </c>
      <c r="S6" s="42" t="s">
        <v>17</v>
      </c>
      <c r="T6" s="42" t="s">
        <v>29</v>
      </c>
      <c r="U6" s="44" t="s">
        <v>19</v>
      </c>
      <c r="V6" s="43">
        <v>8.0</v>
      </c>
      <c r="W6" s="44" t="s">
        <v>32</v>
      </c>
      <c r="Y6" s="44">
        <v>4.0</v>
      </c>
      <c r="Z6" s="44" t="s">
        <v>33</v>
      </c>
    </row>
    <row r="7">
      <c r="A7" s="34" t="str">
        <f t="shared" si="1"/>
        <v>Sunday</v>
      </c>
      <c r="B7" s="31">
        <v>46208.0</v>
      </c>
      <c r="C7" s="46">
        <v>430.77</v>
      </c>
      <c r="D7" s="46">
        <v>982.27</v>
      </c>
      <c r="E7" s="35">
        <f t="shared" si="2"/>
        <v>1413.04</v>
      </c>
      <c r="F7" s="33">
        <v>81.18</v>
      </c>
      <c r="G7" s="33">
        <v>211.09</v>
      </c>
      <c r="H7" s="35">
        <f t="shared" si="3"/>
        <v>292.27</v>
      </c>
      <c r="I7" s="33">
        <v>170.71</v>
      </c>
      <c r="J7" s="33">
        <v>390.23</v>
      </c>
      <c r="K7" s="35">
        <f t="shared" si="4"/>
        <v>560.94</v>
      </c>
      <c r="L7" s="33">
        <v>142.0</v>
      </c>
      <c r="M7" s="33">
        <v>336.15</v>
      </c>
      <c r="N7" s="35">
        <f t="shared" si="5"/>
        <v>478.15</v>
      </c>
      <c r="O7" s="38">
        <f t="shared" si="6"/>
        <v>2744.4</v>
      </c>
      <c r="P7" s="34" t="str">
        <f t="shared" si="7"/>
        <v>Sunday</v>
      </c>
      <c r="Q7" s="31">
        <v>46208.0</v>
      </c>
      <c r="R7" s="41" t="s">
        <v>28</v>
      </c>
      <c r="S7" s="42" t="s">
        <v>17</v>
      </c>
      <c r="T7" s="42" t="s">
        <v>29</v>
      </c>
      <c r="U7" s="42" t="s">
        <v>19</v>
      </c>
      <c r="V7" s="43">
        <v>8.0</v>
      </c>
      <c r="Y7" s="44">
        <v>5.0</v>
      </c>
      <c r="Z7" s="44" t="s">
        <v>34</v>
      </c>
    </row>
    <row r="8">
      <c r="A8" s="34" t="str">
        <f t="shared" si="1"/>
        <v>Monday</v>
      </c>
      <c r="B8" s="31">
        <v>46209.0</v>
      </c>
      <c r="C8" s="46">
        <v>0.0</v>
      </c>
      <c r="D8" s="46">
        <v>718.08</v>
      </c>
      <c r="E8" s="35">
        <f t="shared" si="2"/>
        <v>718.08</v>
      </c>
      <c r="F8" s="33">
        <v>20.0</v>
      </c>
      <c r="G8" s="33">
        <v>228.54</v>
      </c>
      <c r="H8" s="49">
        <f t="shared" si="3"/>
        <v>248.54</v>
      </c>
      <c r="I8" s="33">
        <v>35.0</v>
      </c>
      <c r="J8" s="33">
        <v>147.48</v>
      </c>
      <c r="K8" s="35">
        <f t="shared" si="4"/>
        <v>182.48</v>
      </c>
      <c r="L8" s="33">
        <v>40.0</v>
      </c>
      <c r="M8" s="33">
        <v>216.4</v>
      </c>
      <c r="N8" s="35">
        <f t="shared" si="5"/>
        <v>256.4</v>
      </c>
      <c r="O8" s="38">
        <f t="shared" si="6"/>
        <v>1405.5</v>
      </c>
      <c r="P8" s="34" t="str">
        <f t="shared" si="7"/>
        <v>Monday</v>
      </c>
      <c r="Q8" s="31">
        <v>46209.0</v>
      </c>
      <c r="R8" s="41" t="s">
        <v>16</v>
      </c>
      <c r="S8" s="42" t="s">
        <v>20</v>
      </c>
      <c r="T8" s="42" t="s">
        <v>19</v>
      </c>
      <c r="U8" s="42" t="s">
        <v>18</v>
      </c>
      <c r="V8" s="43">
        <v>10.0</v>
      </c>
      <c r="Y8" s="44">
        <v>6.0</v>
      </c>
      <c r="Z8" s="44" t="s">
        <v>35</v>
      </c>
    </row>
    <row r="9">
      <c r="A9" s="34" t="str">
        <f t="shared" si="1"/>
        <v>Tuesday</v>
      </c>
      <c r="B9" s="31">
        <v>46210.0</v>
      </c>
      <c r="C9" s="46">
        <v>20.0</v>
      </c>
      <c r="D9" s="46">
        <v>390.73</v>
      </c>
      <c r="E9" s="35">
        <f t="shared" si="2"/>
        <v>410.73</v>
      </c>
      <c r="F9" s="33">
        <v>72.89</v>
      </c>
      <c r="G9" s="33">
        <v>64.95</v>
      </c>
      <c r="H9" s="35">
        <f t="shared" si="3"/>
        <v>137.84</v>
      </c>
      <c r="I9" s="33">
        <v>220.0</v>
      </c>
      <c r="J9" s="33">
        <v>241.68</v>
      </c>
      <c r="K9" s="35">
        <f t="shared" si="4"/>
        <v>461.68</v>
      </c>
      <c r="L9" s="33">
        <v>41.14</v>
      </c>
      <c r="M9" s="33">
        <v>198.1</v>
      </c>
      <c r="N9" s="35">
        <f t="shared" si="5"/>
        <v>239.24</v>
      </c>
      <c r="O9" s="38">
        <f t="shared" si="6"/>
        <v>1249.49</v>
      </c>
      <c r="P9" s="34" t="str">
        <f t="shared" si="7"/>
        <v>Tuesday</v>
      </c>
      <c r="Q9" s="31">
        <v>46210.0</v>
      </c>
      <c r="R9" s="41" t="s">
        <v>16</v>
      </c>
      <c r="S9" s="42" t="s">
        <v>20</v>
      </c>
      <c r="T9" s="42" t="s">
        <v>19</v>
      </c>
      <c r="U9" s="42" t="s">
        <v>18</v>
      </c>
      <c r="V9" s="43">
        <v>10.0</v>
      </c>
      <c r="Y9" s="44">
        <v>7.0</v>
      </c>
      <c r="Z9" s="44" t="s">
        <v>36</v>
      </c>
    </row>
    <row r="10">
      <c r="A10" s="34" t="str">
        <f t="shared" si="1"/>
        <v>Wednesday</v>
      </c>
      <c r="B10" s="31">
        <v>46211.0</v>
      </c>
      <c r="C10" s="46">
        <v>242.71</v>
      </c>
      <c r="D10" s="46">
        <v>800.0</v>
      </c>
      <c r="E10" s="35">
        <f t="shared" si="2"/>
        <v>1042.71</v>
      </c>
      <c r="F10" s="33">
        <v>59.54</v>
      </c>
      <c r="G10" s="33">
        <v>339.13</v>
      </c>
      <c r="H10" s="35">
        <f t="shared" si="3"/>
        <v>398.67</v>
      </c>
      <c r="I10" s="33">
        <v>167.45</v>
      </c>
      <c r="J10" s="33">
        <v>374.89</v>
      </c>
      <c r="K10" s="35">
        <f t="shared" si="4"/>
        <v>542.34</v>
      </c>
      <c r="L10" s="33">
        <v>35.0</v>
      </c>
      <c r="M10" s="33">
        <v>200.27</v>
      </c>
      <c r="N10" s="35">
        <f t="shared" si="5"/>
        <v>235.27</v>
      </c>
      <c r="O10" s="38">
        <f t="shared" si="6"/>
        <v>2218.99</v>
      </c>
      <c r="P10" s="34" t="str">
        <f t="shared" si="7"/>
        <v>Wednesday</v>
      </c>
      <c r="Q10" s="31">
        <v>46211.0</v>
      </c>
      <c r="R10" s="41" t="s">
        <v>16</v>
      </c>
      <c r="S10" s="42" t="s">
        <v>20</v>
      </c>
      <c r="T10" s="42" t="s">
        <v>25</v>
      </c>
      <c r="U10" s="42" t="s">
        <v>18</v>
      </c>
      <c r="V10" s="43">
        <v>10.0</v>
      </c>
      <c r="Y10" s="44">
        <v>8.0</v>
      </c>
      <c r="Z10" s="44" t="s">
        <v>37</v>
      </c>
    </row>
    <row r="11">
      <c r="A11" s="34" t="str">
        <f t="shared" si="1"/>
        <v>Thursday</v>
      </c>
      <c r="B11" s="31">
        <v>46212.0</v>
      </c>
      <c r="C11" s="46">
        <v>278.71</v>
      </c>
      <c r="D11" s="46">
        <v>926.78</v>
      </c>
      <c r="E11" s="35">
        <f>D11+C11</f>
        <v>1205.49</v>
      </c>
      <c r="F11" s="33">
        <v>61.0</v>
      </c>
      <c r="G11" s="33">
        <v>392.95</v>
      </c>
      <c r="H11" s="35">
        <f t="shared" si="3"/>
        <v>453.95</v>
      </c>
      <c r="I11" s="33">
        <v>41.65</v>
      </c>
      <c r="J11" s="33">
        <v>236.51</v>
      </c>
      <c r="K11" s="35">
        <f t="shared" si="4"/>
        <v>278.16</v>
      </c>
      <c r="L11" s="33">
        <v>40.0</v>
      </c>
      <c r="M11" s="33">
        <v>86.6</v>
      </c>
      <c r="N11" s="35">
        <f t="shared" si="5"/>
        <v>126.6</v>
      </c>
      <c r="O11" s="38">
        <f t="shared" si="6"/>
        <v>2064.2</v>
      </c>
      <c r="P11" s="34" t="str">
        <f t="shared" si="7"/>
        <v>Thursday</v>
      </c>
      <c r="Q11" s="31">
        <v>46212.0</v>
      </c>
      <c r="R11" s="41" t="s">
        <v>16</v>
      </c>
      <c r="S11" s="42" t="s">
        <v>20</v>
      </c>
      <c r="T11" s="42" t="s">
        <v>19</v>
      </c>
      <c r="U11" s="42" t="s">
        <v>17</v>
      </c>
      <c r="V11" s="43">
        <v>10.0</v>
      </c>
      <c r="Y11" s="44">
        <v>9.0</v>
      </c>
      <c r="Z11" s="44" t="s">
        <v>39</v>
      </c>
    </row>
    <row r="12">
      <c r="A12" s="34" t="str">
        <f t="shared" si="1"/>
        <v>Friday</v>
      </c>
      <c r="B12" s="31">
        <v>46213.0</v>
      </c>
      <c r="C12" s="54">
        <v>453.25</v>
      </c>
      <c r="D12" s="54">
        <v>1164.55</v>
      </c>
      <c r="E12" s="35">
        <f t="shared" ref="E12:E33" si="8">C12+D12</f>
        <v>1617.8</v>
      </c>
      <c r="F12" s="33">
        <v>25.0</v>
      </c>
      <c r="G12" s="33">
        <v>279.28</v>
      </c>
      <c r="H12" s="35">
        <f t="shared" si="3"/>
        <v>304.28</v>
      </c>
      <c r="I12" s="33">
        <v>20.0</v>
      </c>
      <c r="J12" s="33">
        <v>319.35</v>
      </c>
      <c r="K12" s="35">
        <f t="shared" si="4"/>
        <v>339.35</v>
      </c>
      <c r="L12" s="33">
        <v>0.0</v>
      </c>
      <c r="M12" s="33">
        <v>387.54</v>
      </c>
      <c r="N12" s="35">
        <f t="shared" si="5"/>
        <v>387.54</v>
      </c>
      <c r="O12" s="38">
        <f t="shared" si="6"/>
        <v>2648.97</v>
      </c>
      <c r="P12" s="34" t="str">
        <f t="shared" si="7"/>
        <v>Friday</v>
      </c>
      <c r="Q12" s="31">
        <v>46213.0</v>
      </c>
      <c r="R12" s="41" t="s">
        <v>16</v>
      </c>
      <c r="S12" s="42" t="s">
        <v>20</v>
      </c>
      <c r="T12" s="42" t="s">
        <v>29</v>
      </c>
      <c r="U12" s="44" t="s">
        <v>18</v>
      </c>
      <c r="V12" s="43">
        <v>11.0</v>
      </c>
      <c r="Y12" s="44">
        <v>10.0</v>
      </c>
      <c r="Z12" s="44" t="s">
        <v>43</v>
      </c>
    </row>
    <row r="13">
      <c r="A13" s="34" t="str">
        <f t="shared" si="1"/>
        <v>Saturday</v>
      </c>
      <c r="B13" s="31">
        <v>46214.0</v>
      </c>
      <c r="C13" s="46">
        <v>90.78</v>
      </c>
      <c r="D13" s="46">
        <v>1040.55</v>
      </c>
      <c r="E13" s="35">
        <f t="shared" si="8"/>
        <v>1131.33</v>
      </c>
      <c r="F13" s="33">
        <v>10.0</v>
      </c>
      <c r="G13" s="33">
        <v>574.11</v>
      </c>
      <c r="H13" s="35">
        <f t="shared" si="3"/>
        <v>584.11</v>
      </c>
      <c r="I13" s="33">
        <v>178.18</v>
      </c>
      <c r="J13" s="33">
        <v>211.09</v>
      </c>
      <c r="K13" s="35">
        <f t="shared" si="4"/>
        <v>389.27</v>
      </c>
      <c r="L13" s="33">
        <v>154.8</v>
      </c>
      <c r="M13" s="33">
        <v>292.28</v>
      </c>
      <c r="N13" s="35">
        <f t="shared" si="5"/>
        <v>447.08</v>
      </c>
      <c r="O13" s="38">
        <f t="shared" si="6"/>
        <v>2551.79</v>
      </c>
      <c r="P13" s="34" t="str">
        <f t="shared" si="7"/>
        <v>Saturday</v>
      </c>
      <c r="Q13" s="31">
        <v>46214.0</v>
      </c>
      <c r="R13" s="41" t="s">
        <v>28</v>
      </c>
      <c r="S13" s="42" t="s">
        <v>18</v>
      </c>
      <c r="T13" s="42" t="s">
        <v>29</v>
      </c>
      <c r="U13" s="42" t="s">
        <v>25</v>
      </c>
      <c r="V13" s="43">
        <v>11.0</v>
      </c>
      <c r="Y13" s="44">
        <v>11.0</v>
      </c>
      <c r="Z13" s="44" t="s">
        <v>45</v>
      </c>
    </row>
    <row r="14">
      <c r="A14" s="34" t="str">
        <f t="shared" si="1"/>
        <v>Sunday</v>
      </c>
      <c r="B14" s="31">
        <v>46215.0</v>
      </c>
      <c r="C14" s="33">
        <v>227.06</v>
      </c>
      <c r="D14" s="33">
        <v>1525.73</v>
      </c>
      <c r="E14" s="35">
        <f t="shared" si="8"/>
        <v>1752.79</v>
      </c>
      <c r="F14" s="33">
        <v>84.93</v>
      </c>
      <c r="G14" s="33">
        <v>335.58</v>
      </c>
      <c r="H14" s="35">
        <f t="shared" si="3"/>
        <v>420.51</v>
      </c>
      <c r="I14" s="33">
        <v>239.85</v>
      </c>
      <c r="J14" s="33">
        <v>378.81</v>
      </c>
      <c r="K14" s="35">
        <f t="shared" si="4"/>
        <v>618.66</v>
      </c>
      <c r="L14" s="33">
        <v>162.0</v>
      </c>
      <c r="M14" s="33">
        <v>592.28</v>
      </c>
      <c r="N14" s="35">
        <f t="shared" si="5"/>
        <v>754.28</v>
      </c>
      <c r="O14" s="38">
        <f t="shared" si="6"/>
        <v>3546.24</v>
      </c>
      <c r="P14" s="34" t="str">
        <f t="shared" si="7"/>
        <v>Sunday</v>
      </c>
      <c r="Q14" s="31">
        <v>46215.0</v>
      </c>
      <c r="R14" s="41" t="s">
        <v>28</v>
      </c>
      <c r="S14" s="42" t="s">
        <v>17</v>
      </c>
      <c r="T14" s="42" t="s">
        <v>29</v>
      </c>
      <c r="U14" s="42" t="s">
        <v>19</v>
      </c>
      <c r="V14" s="43">
        <v>8.0</v>
      </c>
      <c r="Y14" s="44">
        <v>12.0</v>
      </c>
      <c r="Z14" s="44" t="s">
        <v>46</v>
      </c>
    </row>
    <row r="15">
      <c r="A15" s="34" t="str">
        <f t="shared" si="1"/>
        <v>Monday</v>
      </c>
      <c r="B15" s="31">
        <v>46216.0</v>
      </c>
      <c r="C15" s="33">
        <v>27.06</v>
      </c>
      <c r="D15" s="33">
        <v>531.51</v>
      </c>
      <c r="E15" s="35">
        <f t="shared" si="8"/>
        <v>558.57</v>
      </c>
      <c r="F15" s="33">
        <v>180.0</v>
      </c>
      <c r="G15" s="33">
        <v>235.83</v>
      </c>
      <c r="H15" s="35">
        <f t="shared" si="3"/>
        <v>415.83</v>
      </c>
      <c r="I15" s="33">
        <v>40.0</v>
      </c>
      <c r="J15" s="33">
        <v>283.98</v>
      </c>
      <c r="K15" s="35">
        <f t="shared" si="4"/>
        <v>323.98</v>
      </c>
      <c r="L15" s="33">
        <v>121.65</v>
      </c>
      <c r="M15" s="33">
        <v>257.23</v>
      </c>
      <c r="N15" s="35">
        <f t="shared" si="5"/>
        <v>378.88</v>
      </c>
      <c r="O15" s="38">
        <f t="shared" si="6"/>
        <v>1677.26</v>
      </c>
      <c r="P15" s="34" t="str">
        <f t="shared" si="7"/>
        <v>Monday</v>
      </c>
      <c r="Q15" s="31">
        <v>46216.0</v>
      </c>
      <c r="R15" s="41" t="s">
        <v>16</v>
      </c>
      <c r="S15" s="42" t="s">
        <v>20</v>
      </c>
      <c r="T15" s="42" t="s">
        <v>19</v>
      </c>
      <c r="U15" s="42" t="s">
        <v>18</v>
      </c>
      <c r="V15" s="43">
        <v>10.0</v>
      </c>
      <c r="Y15" s="44">
        <v>13.0</v>
      </c>
      <c r="Z15" s="44" t="s">
        <v>48</v>
      </c>
    </row>
    <row r="16">
      <c r="A16" s="34" t="str">
        <f t="shared" si="1"/>
        <v>Tuesday</v>
      </c>
      <c r="B16" s="31">
        <v>46217.0</v>
      </c>
      <c r="C16" s="33">
        <v>299.0</v>
      </c>
      <c r="D16" s="33">
        <v>300.94</v>
      </c>
      <c r="E16" s="35">
        <f t="shared" si="8"/>
        <v>599.94</v>
      </c>
      <c r="F16" s="33">
        <v>70.0</v>
      </c>
      <c r="G16" s="33">
        <v>146.14</v>
      </c>
      <c r="H16" s="35">
        <f t="shared" si="3"/>
        <v>216.14</v>
      </c>
      <c r="I16" s="33">
        <v>104.0</v>
      </c>
      <c r="J16" s="33">
        <v>162.37</v>
      </c>
      <c r="K16" s="35">
        <f t="shared" si="4"/>
        <v>266.37</v>
      </c>
      <c r="L16" s="33">
        <v>243.58</v>
      </c>
      <c r="M16" s="33">
        <v>129.91</v>
      </c>
      <c r="N16" s="35">
        <f t="shared" si="5"/>
        <v>373.49</v>
      </c>
      <c r="O16" s="38">
        <f t="shared" si="6"/>
        <v>1455.94</v>
      </c>
      <c r="P16" s="34" t="str">
        <f t="shared" si="7"/>
        <v>Tuesday</v>
      </c>
      <c r="Q16" s="31">
        <v>46217.0</v>
      </c>
      <c r="R16" s="41" t="s">
        <v>16</v>
      </c>
      <c r="S16" s="42" t="s">
        <v>20</v>
      </c>
      <c r="T16" s="42" t="s">
        <v>19</v>
      </c>
      <c r="U16" s="42" t="s">
        <v>18</v>
      </c>
      <c r="V16" s="43">
        <v>10.0</v>
      </c>
      <c r="Y16" s="44">
        <v>14.0</v>
      </c>
      <c r="Z16" s="44" t="s">
        <v>50</v>
      </c>
    </row>
    <row r="17">
      <c r="A17" s="34" t="str">
        <f t="shared" si="1"/>
        <v>Wednesday</v>
      </c>
      <c r="B17" s="31">
        <v>46218.0</v>
      </c>
      <c r="C17" s="33">
        <v>260.95</v>
      </c>
      <c r="D17" s="33">
        <v>834.19</v>
      </c>
      <c r="E17" s="35">
        <f t="shared" si="8"/>
        <v>1095.14</v>
      </c>
      <c r="F17" s="33">
        <v>280.0</v>
      </c>
      <c r="G17" s="33">
        <v>120.41</v>
      </c>
      <c r="H17" s="35">
        <f t="shared" si="3"/>
        <v>400.41</v>
      </c>
      <c r="I17" s="33">
        <v>125.65</v>
      </c>
      <c r="J17" s="33">
        <v>152.0</v>
      </c>
      <c r="K17" s="35">
        <f t="shared" si="4"/>
        <v>277.65</v>
      </c>
      <c r="L17" s="33">
        <v>0.0</v>
      </c>
      <c r="M17" s="33">
        <v>192.69</v>
      </c>
      <c r="N17" s="35">
        <f t="shared" si="5"/>
        <v>192.69</v>
      </c>
      <c r="O17" s="38">
        <f t="shared" si="6"/>
        <v>1965.89</v>
      </c>
      <c r="P17" s="34" t="str">
        <f t="shared" si="7"/>
        <v>Wednesday</v>
      </c>
      <c r="Q17" s="31">
        <v>46218.0</v>
      </c>
      <c r="R17" s="41" t="s">
        <v>16</v>
      </c>
      <c r="S17" s="42" t="s">
        <v>20</v>
      </c>
      <c r="T17" s="55" t="s">
        <v>19</v>
      </c>
      <c r="U17" s="42" t="s">
        <v>18</v>
      </c>
      <c r="V17" s="43">
        <v>10.0</v>
      </c>
      <c r="Y17" s="44">
        <v>15.0</v>
      </c>
      <c r="Z17" s="44" t="s">
        <v>51</v>
      </c>
    </row>
    <row r="18">
      <c r="A18" s="34" t="str">
        <f t="shared" si="1"/>
        <v>Thursday</v>
      </c>
      <c r="B18" s="31">
        <v>46219.0</v>
      </c>
      <c r="C18" s="33">
        <v>234.0</v>
      </c>
      <c r="D18" s="33">
        <v>777.63</v>
      </c>
      <c r="E18" s="35">
        <f t="shared" si="8"/>
        <v>1011.63</v>
      </c>
      <c r="F18" s="33">
        <v>40.0</v>
      </c>
      <c r="G18" s="33">
        <v>269.13</v>
      </c>
      <c r="H18" s="35">
        <f t="shared" si="3"/>
        <v>309.13</v>
      </c>
      <c r="I18" s="33">
        <v>37.0</v>
      </c>
      <c r="J18" s="33">
        <v>122.26</v>
      </c>
      <c r="K18" s="35">
        <f t="shared" si="4"/>
        <v>159.26</v>
      </c>
      <c r="L18" s="33">
        <v>200.0</v>
      </c>
      <c r="M18" s="33">
        <v>126.38</v>
      </c>
      <c r="N18" s="35">
        <f t="shared" si="5"/>
        <v>326.38</v>
      </c>
      <c r="O18" s="38">
        <f t="shared" si="6"/>
        <v>1806.4</v>
      </c>
      <c r="P18" s="34" t="str">
        <f t="shared" si="7"/>
        <v>Thursday</v>
      </c>
      <c r="Q18" s="31">
        <v>46219.0</v>
      </c>
      <c r="R18" s="41" t="s">
        <v>16</v>
      </c>
      <c r="S18" s="42" t="s">
        <v>20</v>
      </c>
      <c r="T18" s="42" t="s">
        <v>19</v>
      </c>
      <c r="U18" s="55" t="s">
        <v>25</v>
      </c>
      <c r="V18" s="43">
        <v>10.0</v>
      </c>
      <c r="W18" s="43"/>
      <c r="Y18" s="44">
        <v>16.0</v>
      </c>
      <c r="Z18" s="44" t="s">
        <v>52</v>
      </c>
    </row>
    <row r="19">
      <c r="A19" s="34" t="str">
        <f t="shared" si="1"/>
        <v>Friday</v>
      </c>
      <c r="B19" s="31">
        <v>46220.0</v>
      </c>
      <c r="C19" s="33">
        <v>238.8</v>
      </c>
      <c r="D19" s="33">
        <v>362.64</v>
      </c>
      <c r="E19" s="35">
        <f t="shared" si="8"/>
        <v>601.44</v>
      </c>
      <c r="F19" s="33">
        <v>215.0</v>
      </c>
      <c r="G19" s="44">
        <v>504.14</v>
      </c>
      <c r="H19" s="35">
        <f t="shared" si="3"/>
        <v>719.14</v>
      </c>
      <c r="I19" s="33">
        <v>47.48</v>
      </c>
      <c r="J19" s="33">
        <v>545.23</v>
      </c>
      <c r="K19" s="35">
        <f t="shared" si="4"/>
        <v>592.71</v>
      </c>
      <c r="L19" s="33">
        <v>21.65</v>
      </c>
      <c r="M19" s="33">
        <v>374.01</v>
      </c>
      <c r="N19" s="35">
        <f t="shared" si="5"/>
        <v>395.66</v>
      </c>
      <c r="O19" s="38">
        <f t="shared" si="6"/>
        <v>2308.95</v>
      </c>
      <c r="P19" s="34" t="str">
        <f t="shared" si="7"/>
        <v>Friday</v>
      </c>
      <c r="Q19" s="31">
        <v>46220.0</v>
      </c>
      <c r="R19" s="41" t="s">
        <v>16</v>
      </c>
      <c r="S19" s="42" t="s">
        <v>20</v>
      </c>
      <c r="T19" s="42" t="s">
        <v>29</v>
      </c>
      <c r="U19" s="55" t="s">
        <v>18</v>
      </c>
      <c r="V19" s="43">
        <v>11.0</v>
      </c>
      <c r="W19" s="43" t="s">
        <v>53</v>
      </c>
      <c r="Y19" s="44">
        <v>17.0</v>
      </c>
      <c r="Z19" s="44" t="s">
        <v>54</v>
      </c>
    </row>
    <row r="20">
      <c r="A20" s="34" t="str">
        <f t="shared" si="1"/>
        <v>Saturday</v>
      </c>
      <c r="B20" s="31">
        <v>46221.0</v>
      </c>
      <c r="C20" s="33">
        <v>350.69</v>
      </c>
      <c r="D20" s="33">
        <v>1613.65</v>
      </c>
      <c r="E20" s="35">
        <f t="shared" si="8"/>
        <v>1964.34</v>
      </c>
      <c r="F20" s="33">
        <v>199.9</v>
      </c>
      <c r="G20" s="33">
        <v>273.72</v>
      </c>
      <c r="H20" s="35">
        <f t="shared" si="3"/>
        <v>473.62</v>
      </c>
      <c r="I20" s="33">
        <v>157.0</v>
      </c>
      <c r="J20" s="33">
        <v>840.7</v>
      </c>
      <c r="K20" s="35">
        <f t="shared" si="4"/>
        <v>997.7</v>
      </c>
      <c r="L20" s="33">
        <v>169.75</v>
      </c>
      <c r="M20" s="33">
        <v>628.73</v>
      </c>
      <c r="N20" s="35">
        <f t="shared" si="5"/>
        <v>798.48</v>
      </c>
      <c r="O20" s="38">
        <f t="shared" si="6"/>
        <v>4234.14</v>
      </c>
      <c r="P20" s="34" t="str">
        <f t="shared" si="7"/>
        <v>Saturday</v>
      </c>
      <c r="Q20" s="31">
        <v>46221.0</v>
      </c>
      <c r="R20" s="41" t="s">
        <v>28</v>
      </c>
      <c r="S20" s="42" t="s">
        <v>29</v>
      </c>
      <c r="T20" s="42" t="s">
        <v>19</v>
      </c>
      <c r="U20" s="42" t="s">
        <v>25</v>
      </c>
      <c r="V20" s="43">
        <v>11.0</v>
      </c>
      <c r="W20" s="43"/>
      <c r="Y20" s="44">
        <v>18.0</v>
      </c>
      <c r="Z20" s="44" t="s">
        <v>56</v>
      </c>
    </row>
    <row r="21">
      <c r="A21" s="34" t="str">
        <f t="shared" si="1"/>
        <v>Sunday</v>
      </c>
      <c r="B21" s="31">
        <v>46222.0</v>
      </c>
      <c r="C21" s="33">
        <v>239.7</v>
      </c>
      <c r="D21" s="33">
        <v>1389.42</v>
      </c>
      <c r="E21" s="35">
        <f t="shared" si="8"/>
        <v>1629.12</v>
      </c>
      <c r="F21" s="33">
        <v>147.48</v>
      </c>
      <c r="G21" s="33">
        <v>428.6</v>
      </c>
      <c r="H21" s="35">
        <f t="shared" si="3"/>
        <v>576.08</v>
      </c>
      <c r="I21" s="33">
        <v>105.0</v>
      </c>
      <c r="J21" s="33">
        <v>483.42</v>
      </c>
      <c r="K21" s="35">
        <f t="shared" si="4"/>
        <v>588.42</v>
      </c>
      <c r="L21" s="33">
        <v>102.06</v>
      </c>
      <c r="M21" s="33">
        <v>481.71</v>
      </c>
      <c r="N21" s="35">
        <f t="shared" si="5"/>
        <v>583.77</v>
      </c>
      <c r="O21" s="38">
        <f t="shared" si="6"/>
        <v>3377.39</v>
      </c>
      <c r="P21" s="34" t="str">
        <f t="shared" si="7"/>
        <v>Sunday</v>
      </c>
      <c r="Q21" s="31">
        <v>46222.0</v>
      </c>
      <c r="R21" s="41" t="s">
        <v>28</v>
      </c>
      <c r="S21" s="42" t="s">
        <v>29</v>
      </c>
      <c r="T21" s="42" t="s">
        <v>19</v>
      </c>
      <c r="U21" s="42" t="s">
        <v>18</v>
      </c>
      <c r="V21" s="43">
        <v>8.0</v>
      </c>
      <c r="W21" s="43"/>
      <c r="Y21" s="44">
        <v>19.0</v>
      </c>
      <c r="Z21" s="44" t="s">
        <v>58</v>
      </c>
    </row>
    <row r="22">
      <c r="A22" s="34" t="str">
        <f t="shared" si="1"/>
        <v>Monday</v>
      </c>
      <c r="B22" s="31">
        <v>46223.0</v>
      </c>
      <c r="C22" s="33">
        <v>131.48</v>
      </c>
      <c r="D22" s="33">
        <v>124.49</v>
      </c>
      <c r="E22" s="35">
        <f t="shared" si="8"/>
        <v>255.97</v>
      </c>
      <c r="F22" s="33">
        <v>83.45</v>
      </c>
      <c r="G22" s="33">
        <v>220.9</v>
      </c>
      <c r="H22" s="35">
        <f t="shared" si="3"/>
        <v>304.35</v>
      </c>
      <c r="I22" s="33">
        <v>55.0</v>
      </c>
      <c r="J22" s="33">
        <v>73.61</v>
      </c>
      <c r="K22" s="35">
        <f t="shared" si="4"/>
        <v>128.61</v>
      </c>
      <c r="L22" s="33">
        <v>81.19</v>
      </c>
      <c r="M22" s="33">
        <v>105.0</v>
      </c>
      <c r="N22" s="35">
        <f t="shared" si="5"/>
        <v>186.19</v>
      </c>
      <c r="O22" s="38">
        <f t="shared" si="6"/>
        <v>875.12</v>
      </c>
      <c r="P22" s="34" t="str">
        <f t="shared" si="7"/>
        <v>Monday</v>
      </c>
      <c r="Q22" s="31">
        <v>46223.0</v>
      </c>
      <c r="R22" s="41" t="s">
        <v>16</v>
      </c>
      <c r="S22" s="42" t="s">
        <v>20</v>
      </c>
      <c r="T22" s="57" t="s">
        <v>19</v>
      </c>
      <c r="U22" s="57" t="s">
        <v>18</v>
      </c>
      <c r="V22" s="43">
        <v>10.0</v>
      </c>
      <c r="W22" s="43"/>
      <c r="Y22" s="44">
        <v>20.0</v>
      </c>
      <c r="Z22" s="44" t="s">
        <v>60</v>
      </c>
    </row>
    <row r="23">
      <c r="A23" s="34" t="str">
        <f t="shared" si="1"/>
        <v>Tuesday</v>
      </c>
      <c r="B23" s="31">
        <v>46224.0</v>
      </c>
      <c r="C23" s="33">
        <v>32.48</v>
      </c>
      <c r="D23" s="33">
        <v>404.87</v>
      </c>
      <c r="E23" s="35">
        <f t="shared" si="8"/>
        <v>437.35</v>
      </c>
      <c r="F23" s="33">
        <v>107.07</v>
      </c>
      <c r="G23" s="33">
        <v>321.63</v>
      </c>
      <c r="H23" s="35">
        <f t="shared" si="3"/>
        <v>428.7</v>
      </c>
      <c r="I23" s="33">
        <v>85.0</v>
      </c>
      <c r="J23" s="33">
        <v>339.75</v>
      </c>
      <c r="K23" s="35">
        <f t="shared" si="4"/>
        <v>424.75</v>
      </c>
      <c r="L23" s="33">
        <v>0.0</v>
      </c>
      <c r="M23" s="33">
        <v>178.62</v>
      </c>
      <c r="N23" s="35">
        <f t="shared" si="5"/>
        <v>178.62</v>
      </c>
      <c r="O23" s="38">
        <f t="shared" si="6"/>
        <v>1469.42</v>
      </c>
      <c r="P23" s="34" t="str">
        <f t="shared" si="7"/>
        <v>Tuesday</v>
      </c>
      <c r="Q23" s="31">
        <v>46224.0</v>
      </c>
      <c r="R23" s="41" t="s">
        <v>16</v>
      </c>
      <c r="S23" s="42" t="s">
        <v>20</v>
      </c>
      <c r="T23" s="57" t="s">
        <v>19</v>
      </c>
      <c r="U23" s="57" t="s">
        <v>18</v>
      </c>
      <c r="V23" s="43">
        <v>10.0</v>
      </c>
      <c r="W23" s="43"/>
    </row>
    <row r="24">
      <c r="A24" s="34" t="str">
        <f t="shared" si="1"/>
        <v>Wednesday</v>
      </c>
      <c r="B24" s="31">
        <v>46225.0</v>
      </c>
      <c r="C24" s="33">
        <v>41.0</v>
      </c>
      <c r="D24" s="33">
        <v>484.69</v>
      </c>
      <c r="E24" s="35">
        <f t="shared" si="8"/>
        <v>525.69</v>
      </c>
      <c r="F24" s="33">
        <v>0.0</v>
      </c>
      <c r="G24" s="33">
        <v>664.66</v>
      </c>
      <c r="H24" s="35">
        <f t="shared" si="3"/>
        <v>664.66</v>
      </c>
      <c r="I24" s="33">
        <v>170.0</v>
      </c>
      <c r="J24" s="33">
        <v>284.6</v>
      </c>
      <c r="K24" s="35">
        <f t="shared" si="4"/>
        <v>454.6</v>
      </c>
      <c r="L24" s="33">
        <v>118.71</v>
      </c>
      <c r="M24" s="33">
        <v>363.85</v>
      </c>
      <c r="N24" s="35">
        <f t="shared" si="5"/>
        <v>482.56</v>
      </c>
      <c r="O24" s="38">
        <f t="shared" si="6"/>
        <v>2127.51</v>
      </c>
      <c r="P24" s="34" t="str">
        <f t="shared" si="7"/>
        <v>Wednesday</v>
      </c>
      <c r="Q24" s="31">
        <v>46225.0</v>
      </c>
      <c r="R24" s="41" t="s">
        <v>16</v>
      </c>
      <c r="S24" s="42" t="s">
        <v>20</v>
      </c>
      <c r="T24" s="57" t="s">
        <v>19</v>
      </c>
      <c r="U24" s="57" t="s">
        <v>18</v>
      </c>
      <c r="V24" s="43">
        <v>10.0</v>
      </c>
      <c r="W24" s="43"/>
    </row>
    <row r="25">
      <c r="A25" s="34" t="str">
        <f t="shared" si="1"/>
        <v>Thursday</v>
      </c>
      <c r="B25" s="31">
        <v>46226.0</v>
      </c>
      <c r="C25" s="33">
        <v>83.71</v>
      </c>
      <c r="D25" s="33">
        <v>377.26</v>
      </c>
      <c r="E25" s="35">
        <f t="shared" si="8"/>
        <v>460.97</v>
      </c>
      <c r="F25" s="33">
        <v>39.0</v>
      </c>
      <c r="G25" s="33">
        <v>173.2</v>
      </c>
      <c r="H25" s="35">
        <f t="shared" si="3"/>
        <v>212.2</v>
      </c>
      <c r="I25" s="33">
        <v>0.0</v>
      </c>
      <c r="J25" s="33">
        <v>286.13</v>
      </c>
      <c r="K25" s="35">
        <f t="shared" si="4"/>
        <v>286.13</v>
      </c>
      <c r="L25" s="33">
        <v>55.0</v>
      </c>
      <c r="M25" s="33">
        <v>129.64</v>
      </c>
      <c r="N25" s="35">
        <f t="shared" si="5"/>
        <v>184.64</v>
      </c>
      <c r="O25" s="38">
        <f t="shared" si="6"/>
        <v>1143.94</v>
      </c>
      <c r="P25" s="34" t="str">
        <f t="shared" si="7"/>
        <v>Thursday</v>
      </c>
      <c r="Q25" s="31">
        <v>46226.0</v>
      </c>
      <c r="R25" s="41" t="s">
        <v>16</v>
      </c>
      <c r="S25" s="42" t="s">
        <v>20</v>
      </c>
      <c r="T25" s="57" t="s">
        <v>19</v>
      </c>
      <c r="U25" s="55" t="s">
        <v>25</v>
      </c>
      <c r="V25" s="43">
        <v>10.0</v>
      </c>
      <c r="W25" s="43"/>
    </row>
    <row r="26">
      <c r="A26" s="34" t="str">
        <f t="shared" si="1"/>
        <v>Friday</v>
      </c>
      <c r="B26" s="31">
        <v>46227.0</v>
      </c>
      <c r="C26" s="33">
        <v>655.47</v>
      </c>
      <c r="D26" s="33">
        <v>331.65</v>
      </c>
      <c r="E26" s="35">
        <f t="shared" si="8"/>
        <v>987.12</v>
      </c>
      <c r="F26" s="33">
        <v>65.0</v>
      </c>
      <c r="G26" s="33">
        <v>253.31</v>
      </c>
      <c r="H26" s="35">
        <f t="shared" si="3"/>
        <v>318.31</v>
      </c>
      <c r="I26" s="33">
        <v>40.0</v>
      </c>
      <c r="J26" s="33">
        <v>385.72</v>
      </c>
      <c r="K26" s="35">
        <f t="shared" si="4"/>
        <v>425.72</v>
      </c>
      <c r="L26" s="33">
        <v>209.85</v>
      </c>
      <c r="M26" s="33">
        <v>325.57</v>
      </c>
      <c r="N26" s="35">
        <f t="shared" si="5"/>
        <v>535.42</v>
      </c>
      <c r="O26" s="38">
        <f t="shared" si="6"/>
        <v>2266.57</v>
      </c>
      <c r="P26" s="34" t="str">
        <f t="shared" si="7"/>
        <v>Friday</v>
      </c>
      <c r="Q26" s="31">
        <v>46227.0</v>
      </c>
      <c r="R26" s="41" t="s">
        <v>16</v>
      </c>
      <c r="S26" s="42" t="s">
        <v>20</v>
      </c>
      <c r="T26" s="42" t="s">
        <v>19</v>
      </c>
      <c r="U26" s="57" t="s">
        <v>18</v>
      </c>
      <c r="V26" s="43">
        <v>11.0</v>
      </c>
      <c r="W26" s="43" t="s">
        <v>62</v>
      </c>
    </row>
    <row r="27">
      <c r="A27" s="34" t="str">
        <f t="shared" si="1"/>
        <v>Saturday</v>
      </c>
      <c r="B27" s="31">
        <v>46228.0</v>
      </c>
      <c r="C27" s="33">
        <v>315.71</v>
      </c>
      <c r="D27" s="33">
        <v>1493.15</v>
      </c>
      <c r="E27" s="35">
        <f t="shared" si="8"/>
        <v>1808.86</v>
      </c>
      <c r="F27" s="33">
        <v>120.0</v>
      </c>
      <c r="G27" s="33">
        <v>1156.77</v>
      </c>
      <c r="H27" s="35">
        <f t="shared" si="3"/>
        <v>1276.77</v>
      </c>
      <c r="I27" s="33">
        <v>103.82</v>
      </c>
      <c r="J27" s="33">
        <v>1007.8</v>
      </c>
      <c r="K27" s="35">
        <f t="shared" si="4"/>
        <v>1111.62</v>
      </c>
      <c r="L27" s="33">
        <v>52.48</v>
      </c>
      <c r="M27" s="33">
        <v>779.42</v>
      </c>
      <c r="N27" s="35">
        <f t="shared" si="5"/>
        <v>831.9</v>
      </c>
      <c r="O27" s="38">
        <f t="shared" si="6"/>
        <v>5029.15</v>
      </c>
      <c r="P27" s="34" t="str">
        <f t="shared" si="7"/>
        <v>Saturday</v>
      </c>
      <c r="Q27" s="31">
        <v>46228.0</v>
      </c>
      <c r="R27" s="41" t="s">
        <v>28</v>
      </c>
      <c r="S27" s="42" t="s">
        <v>29</v>
      </c>
      <c r="T27" s="42" t="s">
        <v>19</v>
      </c>
      <c r="U27" s="57" t="s">
        <v>25</v>
      </c>
      <c r="V27" s="43">
        <v>11.0</v>
      </c>
      <c r="W27" s="43"/>
    </row>
    <row r="28">
      <c r="A28" s="34" t="str">
        <f t="shared" si="1"/>
        <v>Sunday</v>
      </c>
      <c r="B28" s="31">
        <v>46229.0</v>
      </c>
      <c r="C28" s="33">
        <v>403.91</v>
      </c>
      <c r="D28" s="33">
        <v>1242.66</v>
      </c>
      <c r="E28" s="35">
        <f t="shared" si="8"/>
        <v>1646.57</v>
      </c>
      <c r="F28" s="33">
        <v>171.19</v>
      </c>
      <c r="G28" s="33">
        <v>292.13</v>
      </c>
      <c r="H28" s="35">
        <f t="shared" si="3"/>
        <v>463.32</v>
      </c>
      <c r="I28" s="33">
        <v>70.0</v>
      </c>
      <c r="J28" s="33">
        <v>566.15</v>
      </c>
      <c r="K28" s="35">
        <f t="shared" si="4"/>
        <v>636.15</v>
      </c>
      <c r="L28" s="33">
        <v>235.83</v>
      </c>
      <c r="M28" s="33">
        <v>366.34</v>
      </c>
      <c r="N28" s="35">
        <f t="shared" si="5"/>
        <v>602.17</v>
      </c>
      <c r="O28" s="38">
        <f t="shared" si="6"/>
        <v>3348.21</v>
      </c>
      <c r="P28" s="34" t="str">
        <f t="shared" si="7"/>
        <v>Sunday</v>
      </c>
      <c r="Q28" s="31">
        <v>46229.0</v>
      </c>
      <c r="R28" s="41" t="s">
        <v>28</v>
      </c>
      <c r="S28" s="42" t="s">
        <v>29</v>
      </c>
      <c r="T28" s="42" t="s">
        <v>19</v>
      </c>
      <c r="U28" s="57" t="s">
        <v>18</v>
      </c>
      <c r="V28" s="43">
        <v>8.0</v>
      </c>
      <c r="W28" s="43"/>
    </row>
    <row r="29">
      <c r="A29" s="34" t="str">
        <f t="shared" si="1"/>
        <v>Monday</v>
      </c>
      <c r="B29" s="31">
        <v>46230.0</v>
      </c>
      <c r="C29" s="33">
        <v>20.0</v>
      </c>
      <c r="D29" s="33">
        <v>657.6</v>
      </c>
      <c r="E29" s="35">
        <f t="shared" si="8"/>
        <v>677.6</v>
      </c>
      <c r="F29" s="33">
        <v>134.0</v>
      </c>
      <c r="G29" s="33">
        <v>455.69</v>
      </c>
      <c r="H29" s="35">
        <f t="shared" si="3"/>
        <v>589.69</v>
      </c>
      <c r="I29" s="33">
        <v>55.0</v>
      </c>
      <c r="J29" s="33">
        <v>161.02</v>
      </c>
      <c r="K29" s="35">
        <f t="shared" si="4"/>
        <v>216.02</v>
      </c>
      <c r="L29" s="33">
        <v>100.06</v>
      </c>
      <c r="M29" s="33">
        <v>140.22</v>
      </c>
      <c r="N29" s="35">
        <f t="shared" si="5"/>
        <v>240.28</v>
      </c>
      <c r="O29" s="38">
        <f t="shared" si="6"/>
        <v>1723.59</v>
      </c>
      <c r="P29" s="34" t="str">
        <f t="shared" si="7"/>
        <v>Monday</v>
      </c>
      <c r="Q29" s="31">
        <v>46230.0</v>
      </c>
      <c r="R29" s="41" t="s">
        <v>16</v>
      </c>
      <c r="S29" s="42" t="s">
        <v>20</v>
      </c>
      <c r="T29" s="57" t="s">
        <v>19</v>
      </c>
      <c r="U29" s="57" t="s">
        <v>18</v>
      </c>
      <c r="V29" s="43">
        <v>10.0</v>
      </c>
      <c r="W29" s="43"/>
    </row>
    <row r="30">
      <c r="A30" s="34" t="str">
        <f t="shared" si="1"/>
        <v>Tuesday</v>
      </c>
      <c r="B30" s="31">
        <v>46231.0</v>
      </c>
      <c r="C30" s="33">
        <v>130.34</v>
      </c>
      <c r="D30" s="33">
        <v>430.84</v>
      </c>
      <c r="E30" s="35">
        <f t="shared" si="8"/>
        <v>561.18</v>
      </c>
      <c r="F30" s="33">
        <v>90.24</v>
      </c>
      <c r="G30" s="33">
        <v>101.48</v>
      </c>
      <c r="H30" s="35">
        <f t="shared" si="3"/>
        <v>191.72</v>
      </c>
      <c r="I30" s="33">
        <v>95.0</v>
      </c>
      <c r="J30" s="33">
        <v>197.02</v>
      </c>
      <c r="K30" s="35">
        <f t="shared" si="4"/>
        <v>292.02</v>
      </c>
      <c r="L30" s="33">
        <v>46.55</v>
      </c>
      <c r="M30" s="33">
        <v>341.75</v>
      </c>
      <c r="N30" s="35">
        <f t="shared" si="5"/>
        <v>388.3</v>
      </c>
      <c r="O30" s="38">
        <f t="shared" si="6"/>
        <v>1433.22</v>
      </c>
      <c r="P30" s="34" t="str">
        <f t="shared" si="7"/>
        <v>Tuesday</v>
      </c>
      <c r="Q30" s="31">
        <v>46231.0</v>
      </c>
      <c r="R30" s="41" t="s">
        <v>16</v>
      </c>
      <c r="S30" s="42" t="s">
        <v>20</v>
      </c>
      <c r="T30" s="57" t="s">
        <v>19</v>
      </c>
      <c r="U30" s="57" t="s">
        <v>18</v>
      </c>
      <c r="V30" s="43">
        <v>10.0</v>
      </c>
      <c r="W30" s="43"/>
      <c r="Z30" s="87"/>
    </row>
    <row r="31">
      <c r="A31" s="34" t="str">
        <f t="shared" si="1"/>
        <v>Wednesday</v>
      </c>
      <c r="B31" s="31">
        <v>46232.0</v>
      </c>
      <c r="C31" s="33">
        <v>192.06</v>
      </c>
      <c r="D31" s="33">
        <v>671.15</v>
      </c>
      <c r="E31" s="35">
        <f t="shared" si="8"/>
        <v>863.21</v>
      </c>
      <c r="F31" s="60">
        <v>280.39</v>
      </c>
      <c r="G31" s="60">
        <v>95.49</v>
      </c>
      <c r="H31" s="35">
        <f t="shared" si="3"/>
        <v>375.88</v>
      </c>
      <c r="I31" s="60">
        <v>70.09</v>
      </c>
      <c r="J31" s="60">
        <v>229.23</v>
      </c>
      <c r="K31" s="35">
        <f t="shared" si="4"/>
        <v>299.32</v>
      </c>
      <c r="L31" s="33">
        <v>51.96</v>
      </c>
      <c r="M31" s="60">
        <v>343.86</v>
      </c>
      <c r="N31" s="35">
        <f t="shared" si="5"/>
        <v>395.82</v>
      </c>
      <c r="O31" s="38">
        <f t="shared" si="6"/>
        <v>1934.23</v>
      </c>
      <c r="P31" s="34" t="str">
        <f t="shared" si="7"/>
        <v>Wednesday</v>
      </c>
      <c r="Q31" s="31">
        <v>46232.0</v>
      </c>
      <c r="R31" s="41" t="s">
        <v>16</v>
      </c>
      <c r="S31" s="42" t="s">
        <v>20</v>
      </c>
      <c r="T31" s="57" t="s">
        <v>19</v>
      </c>
      <c r="U31" s="57" t="s">
        <v>18</v>
      </c>
      <c r="V31" s="43">
        <v>10.0</v>
      </c>
      <c r="W31" s="43"/>
    </row>
    <row r="32">
      <c r="A32" s="34" t="str">
        <f t="shared" si="1"/>
        <v>Thursday</v>
      </c>
      <c r="B32" s="31">
        <v>46233.0</v>
      </c>
      <c r="C32" s="33">
        <v>127.74</v>
      </c>
      <c r="D32" s="33">
        <v>272.78</v>
      </c>
      <c r="E32" s="35">
        <f t="shared" si="8"/>
        <v>400.52</v>
      </c>
      <c r="F32" s="60">
        <v>55.0</v>
      </c>
      <c r="G32" s="60">
        <v>509.32</v>
      </c>
      <c r="H32" s="35">
        <f t="shared" si="3"/>
        <v>564.32</v>
      </c>
      <c r="I32" s="60">
        <v>116.6</v>
      </c>
      <c r="J32" s="60">
        <v>635.3</v>
      </c>
      <c r="K32" s="35">
        <f t="shared" si="4"/>
        <v>751.9</v>
      </c>
      <c r="L32" s="60">
        <v>109.95</v>
      </c>
      <c r="M32" s="60">
        <v>165.62</v>
      </c>
      <c r="N32" s="35">
        <f t="shared" si="5"/>
        <v>275.57</v>
      </c>
      <c r="O32" s="38">
        <f t="shared" si="6"/>
        <v>1992.31</v>
      </c>
      <c r="P32" s="34" t="str">
        <f t="shared" si="7"/>
        <v>Thursday</v>
      </c>
      <c r="Q32" s="31">
        <v>46233.0</v>
      </c>
      <c r="R32" s="41" t="s">
        <v>16</v>
      </c>
      <c r="S32" s="42" t="s">
        <v>20</v>
      </c>
      <c r="T32" s="57" t="s">
        <v>19</v>
      </c>
      <c r="U32" s="55" t="s">
        <v>25</v>
      </c>
      <c r="V32" s="43">
        <v>10.0</v>
      </c>
      <c r="W32" s="43"/>
    </row>
    <row r="33">
      <c r="A33" s="34" t="str">
        <f t="shared" si="1"/>
        <v>Friday</v>
      </c>
      <c r="B33" s="31">
        <v>46234.0</v>
      </c>
      <c r="C33" s="33">
        <v>247.9</v>
      </c>
      <c r="D33" s="60">
        <v>628.47</v>
      </c>
      <c r="E33" s="35">
        <f t="shared" si="8"/>
        <v>876.37</v>
      </c>
      <c r="F33" s="60">
        <v>52.0</v>
      </c>
      <c r="G33" s="60">
        <v>562.91</v>
      </c>
      <c r="H33" s="35">
        <f t="shared" si="3"/>
        <v>614.91</v>
      </c>
      <c r="I33" s="60">
        <v>98.54</v>
      </c>
      <c r="J33" s="60">
        <v>617.41</v>
      </c>
      <c r="K33" s="35">
        <f t="shared" si="4"/>
        <v>715.95</v>
      </c>
      <c r="L33" s="60">
        <v>71.65</v>
      </c>
      <c r="M33" s="60">
        <v>390.04</v>
      </c>
      <c r="N33" s="35">
        <f t="shared" si="5"/>
        <v>461.69</v>
      </c>
      <c r="O33" s="38">
        <f t="shared" si="6"/>
        <v>2668.92</v>
      </c>
      <c r="P33" s="34" t="str">
        <f t="shared" si="7"/>
        <v>Friday</v>
      </c>
      <c r="Q33" s="31">
        <v>46234.0</v>
      </c>
      <c r="R33" s="41" t="s">
        <v>16</v>
      </c>
      <c r="S33" s="42" t="s">
        <v>20</v>
      </c>
      <c r="T33" s="42" t="s">
        <v>29</v>
      </c>
      <c r="U33" s="57" t="s">
        <v>18</v>
      </c>
      <c r="V33" s="43">
        <v>11.0</v>
      </c>
      <c r="W33" s="43"/>
    </row>
    <row r="34">
      <c r="A34" s="7"/>
      <c r="B34" s="63"/>
      <c r="C34" s="61">
        <f t="shared" ref="C34:D34" si="9">SUM(C3:C33)</f>
        <v>6502.13</v>
      </c>
      <c r="D34" s="61">
        <f t="shared" si="9"/>
        <v>22499.43</v>
      </c>
      <c r="E34" s="62"/>
      <c r="F34" s="61">
        <f t="shared" ref="F34:G34" si="10">SUM(F3:F33)</f>
        <v>3299.21</v>
      </c>
      <c r="G34" s="61">
        <f t="shared" si="10"/>
        <v>10413.46</v>
      </c>
      <c r="H34" s="62"/>
      <c r="I34" s="61">
        <f t="shared" ref="I34:J34" si="11">SUM(I3:I33)</f>
        <v>3212.64</v>
      </c>
      <c r="J34" s="61">
        <f t="shared" si="11"/>
        <v>10860.72</v>
      </c>
      <c r="K34" s="62"/>
      <c r="L34" s="61">
        <f t="shared" ref="L34:M34" si="12">SUM(L3:L33)</f>
        <v>2947.85</v>
      </c>
      <c r="M34" s="61">
        <f t="shared" si="12"/>
        <v>9319.96</v>
      </c>
      <c r="N34" s="7"/>
      <c r="O34" s="68"/>
      <c r="P34" s="69"/>
      <c r="Q34" s="69"/>
      <c r="R34" s="70"/>
      <c r="S34" s="70"/>
      <c r="T34" s="70"/>
      <c r="U34" s="70"/>
      <c r="V34" s="43"/>
    </row>
    <row r="35">
      <c r="A35" s="7"/>
      <c r="B35" s="7"/>
      <c r="C35" s="7"/>
      <c r="D35" s="64" t="s">
        <v>61</v>
      </c>
      <c r="E35" s="75">
        <f>SUM(E3:E33)</f>
        <v>29001.56</v>
      </c>
      <c r="F35" s="7"/>
      <c r="G35" s="64" t="s">
        <v>3</v>
      </c>
      <c r="H35" s="77">
        <f>SUM(H3:H33)</f>
        <v>13712.67</v>
      </c>
      <c r="I35" s="7"/>
      <c r="J35" s="64" t="s">
        <v>4</v>
      </c>
      <c r="K35" s="77">
        <f>SUM(K3:K33)</f>
        <v>14073.36</v>
      </c>
      <c r="L35" s="7"/>
      <c r="M35" s="64" t="s">
        <v>5</v>
      </c>
      <c r="N35" s="77">
        <f t="shared" ref="N35:O35" si="13">SUM(N3:N33)</f>
        <v>12267.81</v>
      </c>
      <c r="O35" s="82">
        <f t="shared" si="13"/>
        <v>69055.4</v>
      </c>
      <c r="P35" s="69"/>
      <c r="Q35" s="69"/>
      <c r="R35" s="70"/>
      <c r="S35" s="70"/>
      <c r="T35" s="70"/>
      <c r="U35" s="70"/>
      <c r="V35" s="43"/>
    </row>
    <row r="36">
      <c r="P36" s="84"/>
      <c r="Q36" s="84"/>
      <c r="R36" s="86">
        <f>IFERROR(__xludf.DUMMYFUNCTION("SUM(ARRAYFORMULA(IFERROR(VALUE(REGEXREPLACE(R3:R33,""[^\d]"","""")),0)))"),0.0)</f>
        <v>0</v>
      </c>
      <c r="S36" s="86">
        <f>IFERROR(__xludf.DUMMYFUNCTION("SUM(ARRAYFORMULA(IFERROR(VALUE(REGEXREPLACE(S3:S33,""[^\d]"","""")),0)))"),0.0)</f>
        <v>0</v>
      </c>
      <c r="T36" s="86">
        <f>IFERROR(__xludf.DUMMYFUNCTION("SUM(ARRAYFORMULA(IFERROR(VALUE(REGEXREPLACE(T3:T33,""[^\d]"","""")),0)))"),0.0)</f>
        <v>0</v>
      </c>
      <c r="U36" s="86">
        <f>IFERROR(__xludf.DUMMYFUNCTION("SUM(ARRAYFORMULA(IFERROR(VALUE(REGEXREPLACE(U3:U33,""[^\d]"","""")),0)))"),0.0)</f>
        <v>0</v>
      </c>
      <c r="V36" s="86">
        <f>SUM(V3:V33)</f>
        <v>308</v>
      </c>
      <c r="W36" s="116">
        <f>V36*13</f>
        <v>4004</v>
      </c>
    </row>
    <row r="37">
      <c r="A37" s="74"/>
      <c r="B37" s="118"/>
      <c r="C37" s="44" t="s">
        <v>71</v>
      </c>
      <c r="D37" s="122">
        <f>'June Sales &amp; Employee Expense f'!D39</f>
        <v>2496.26</v>
      </c>
    </row>
    <row r="38">
      <c r="A38" s="74" t="s">
        <v>63</v>
      </c>
      <c r="B38" s="118">
        <f>C34+F34+I34+L34</f>
        <v>15961.83</v>
      </c>
      <c r="C38" s="44" t="s">
        <v>73</v>
      </c>
      <c r="D38" s="116">
        <f>sum(F46:F53)</f>
        <v>15237</v>
      </c>
    </row>
    <row r="39">
      <c r="A39" s="74" t="s">
        <v>64</v>
      </c>
      <c r="B39" s="118">
        <f>D34+G34+J34+M34</f>
        <v>53093.57</v>
      </c>
      <c r="C39" s="44" t="s">
        <v>75</v>
      </c>
      <c r="D39" s="122">
        <f>B38+D37-D38</f>
        <v>3221.09</v>
      </c>
      <c r="E39" s="7"/>
      <c r="F39" s="7"/>
      <c r="G39" s="7"/>
      <c r="H39" s="7"/>
      <c r="I39" s="7"/>
    </row>
    <row r="40">
      <c r="A40" s="78"/>
      <c r="B40" s="79"/>
      <c r="E40" s="7"/>
      <c r="F40" s="7"/>
      <c r="G40" s="7"/>
      <c r="H40" s="7"/>
      <c r="I40" s="7"/>
    </row>
    <row r="41">
      <c r="A41" s="81" t="s">
        <v>65</v>
      </c>
      <c r="B41" s="118">
        <f>sum(B38:B39)</f>
        <v>69055.4</v>
      </c>
      <c r="E41" s="7"/>
      <c r="F41" s="7"/>
      <c r="G41" s="63">
        <v>265.0</v>
      </c>
      <c r="H41" s="63">
        <v>505.98</v>
      </c>
      <c r="I41" s="63">
        <v>559.68</v>
      </c>
      <c r="J41" s="44">
        <v>583.57</v>
      </c>
      <c r="K41" s="44">
        <v>752.34</v>
      </c>
      <c r="L41" s="116">
        <f>sum(H41:K41)</f>
        <v>2401.57</v>
      </c>
    </row>
    <row r="42">
      <c r="A42" s="80"/>
      <c r="B42" s="80"/>
      <c r="E42" s="7"/>
      <c r="F42" s="7"/>
      <c r="G42" s="7"/>
      <c r="H42" s="7"/>
      <c r="I42" s="7"/>
    </row>
    <row r="43">
      <c r="A43" s="105" t="s">
        <v>76</v>
      </c>
      <c r="J43" s="106" t="s">
        <v>77</v>
      </c>
    </row>
    <row r="45">
      <c r="A45" s="107" t="s">
        <v>78</v>
      </c>
      <c r="B45" s="107" t="s">
        <v>79</v>
      </c>
      <c r="C45" s="107" t="s">
        <v>12</v>
      </c>
      <c r="D45" s="107" t="s">
        <v>80</v>
      </c>
      <c r="E45" s="107" t="s">
        <v>81</v>
      </c>
      <c r="F45" s="108" t="s">
        <v>82</v>
      </c>
      <c r="G45" s="108" t="s">
        <v>84</v>
      </c>
      <c r="I45" s="55" t="s">
        <v>1</v>
      </c>
      <c r="J45" s="117" t="s">
        <v>102</v>
      </c>
      <c r="K45" s="55" t="s">
        <v>103</v>
      </c>
      <c r="L45" s="55" t="s">
        <v>104</v>
      </c>
      <c r="M45" s="55" t="s">
        <v>105</v>
      </c>
      <c r="N45" s="55"/>
      <c r="O45" s="55"/>
      <c r="P45" s="55"/>
      <c r="Q45" s="55"/>
      <c r="R45" s="55"/>
    </row>
    <row r="46">
      <c r="A46" s="109"/>
      <c r="B46" s="110" t="s">
        <v>18</v>
      </c>
      <c r="C46" s="112">
        <f>sumproduct((R3:U33="Siri")*V3:V33)</f>
        <v>222</v>
      </c>
      <c r="D46" s="110">
        <f>C46*10</f>
        <v>2220</v>
      </c>
      <c r="E46" s="110">
        <f t="shared" ref="E46:E54" si="14">sum(D46+A46)</f>
        <v>2220</v>
      </c>
      <c r="F46" s="110">
        <f>1130+980+110</f>
        <v>2220</v>
      </c>
      <c r="G46" s="112">
        <f t="shared" ref="G46:G54" si="15">F46-E46</f>
        <v>0</v>
      </c>
      <c r="I46" s="55"/>
      <c r="K46" s="55"/>
      <c r="L46" s="55"/>
      <c r="M46" s="120"/>
      <c r="N46" s="120"/>
      <c r="O46" s="121"/>
      <c r="P46" s="55"/>
      <c r="Q46" s="120"/>
      <c r="R46" s="120"/>
    </row>
    <row r="47">
      <c r="A47" s="123"/>
      <c r="B47" s="110" t="s">
        <v>29</v>
      </c>
      <c r="C47" s="112">
        <f>sumproduct((R3:U33="Sam")*V3:V33)</f>
        <v>106</v>
      </c>
      <c r="D47" s="110">
        <f>C47*14</f>
        <v>1484</v>
      </c>
      <c r="E47" s="110">
        <f t="shared" si="14"/>
        <v>1484</v>
      </c>
      <c r="F47" s="110">
        <f>658+686+140</f>
        <v>1484</v>
      </c>
      <c r="G47" s="112">
        <f t="shared" si="15"/>
        <v>0</v>
      </c>
      <c r="I47" s="55"/>
      <c r="J47" s="141"/>
      <c r="K47" s="119"/>
      <c r="L47" s="55"/>
      <c r="M47" s="120"/>
      <c r="N47" s="120"/>
      <c r="O47" s="120"/>
      <c r="P47" s="120"/>
      <c r="Q47" s="120"/>
      <c r="R47" s="120"/>
    </row>
    <row r="48">
      <c r="A48" s="131"/>
      <c r="B48" s="110" t="s">
        <v>19</v>
      </c>
      <c r="C48" s="112">
        <f>sumproduct((R3:U33="Dan")*V3:V33)</f>
        <v>254</v>
      </c>
      <c r="D48" s="112">
        <f>C48*11</f>
        <v>2794</v>
      </c>
      <c r="E48" s="110">
        <f t="shared" si="14"/>
        <v>2794</v>
      </c>
      <c r="F48" s="110">
        <f>1276+1529</f>
        <v>2805</v>
      </c>
      <c r="G48" s="112">
        <f t="shared" si="15"/>
        <v>11</v>
      </c>
      <c r="H48" s="149"/>
      <c r="I48" s="55"/>
      <c r="J48" s="55"/>
      <c r="K48" s="119"/>
      <c r="L48" s="55"/>
      <c r="M48" s="120"/>
      <c r="N48" s="120"/>
      <c r="O48" s="120"/>
      <c r="P48" s="120"/>
      <c r="Q48" s="120"/>
      <c r="R48" s="120"/>
    </row>
    <row r="49">
      <c r="A49" s="123"/>
      <c r="B49" s="110" t="s">
        <v>17</v>
      </c>
      <c r="C49" s="112">
        <f>sumproduct((R3:U32="Nirjala")*V3:V32)</f>
        <v>45</v>
      </c>
      <c r="D49" s="112">
        <f>C49*13</f>
        <v>585</v>
      </c>
      <c r="E49" s="110">
        <f t="shared" si="14"/>
        <v>585</v>
      </c>
      <c r="F49" s="110">
        <v>598.0</v>
      </c>
      <c r="G49" s="112">
        <f t="shared" si="15"/>
        <v>13</v>
      </c>
      <c r="I49" s="120"/>
      <c r="J49" s="120"/>
      <c r="K49" s="120"/>
      <c r="L49" s="120"/>
      <c r="M49" s="120"/>
      <c r="N49" s="120"/>
      <c r="O49" s="120"/>
      <c r="P49" s="120"/>
      <c r="Q49" s="120"/>
      <c r="R49" s="120"/>
    </row>
    <row r="50">
      <c r="A50" s="112"/>
      <c r="B50" s="110" t="s">
        <v>25</v>
      </c>
      <c r="C50" s="112">
        <f>sumproduct((R3:U33="Sumanth")*V3:V33)</f>
        <v>73</v>
      </c>
      <c r="D50" s="110">
        <f>C50*10</f>
        <v>730</v>
      </c>
      <c r="E50" s="110">
        <f t="shared" si="14"/>
        <v>730</v>
      </c>
      <c r="F50" s="110">
        <f>210+520</f>
        <v>730</v>
      </c>
      <c r="G50" s="112">
        <f t="shared" si="15"/>
        <v>0</v>
      </c>
      <c r="I50" s="120"/>
      <c r="J50" s="120"/>
      <c r="K50" s="120"/>
      <c r="L50" s="120"/>
      <c r="M50" s="120"/>
      <c r="N50" s="120"/>
      <c r="O50" s="120"/>
      <c r="P50" s="120"/>
      <c r="Q50" s="120"/>
      <c r="R50" s="120"/>
    </row>
    <row r="51">
      <c r="A51" s="112"/>
      <c r="C51" s="112"/>
      <c r="D51" s="110"/>
      <c r="E51" s="110">
        <f t="shared" si="14"/>
        <v>0</v>
      </c>
      <c r="F51" s="110"/>
      <c r="G51" s="112">
        <f t="shared" si="15"/>
        <v>0</v>
      </c>
      <c r="I51" s="120"/>
      <c r="J51" s="120"/>
      <c r="K51" s="120"/>
      <c r="L51" s="120"/>
      <c r="M51" s="120"/>
      <c r="N51" s="120"/>
      <c r="O51" s="120"/>
      <c r="P51" s="120"/>
      <c r="Q51" s="120"/>
      <c r="R51" s="120"/>
    </row>
    <row r="52">
      <c r="A52" s="110"/>
      <c r="B52" s="110" t="s">
        <v>16</v>
      </c>
      <c r="C52" s="112"/>
      <c r="D52" s="110">
        <v>4200.0</v>
      </c>
      <c r="E52" s="110">
        <f t="shared" si="14"/>
        <v>4200</v>
      </c>
      <c r="F52" s="110">
        <f>2100+2100</f>
        <v>4200</v>
      </c>
      <c r="G52" s="112">
        <f t="shared" si="15"/>
        <v>0</v>
      </c>
      <c r="I52" s="120"/>
      <c r="J52" s="120"/>
      <c r="K52" s="120"/>
      <c r="L52" s="120"/>
      <c r="M52" s="120"/>
      <c r="N52" s="120"/>
      <c r="O52" s="120"/>
      <c r="P52" s="120"/>
      <c r="Q52" s="120"/>
      <c r="R52" s="120"/>
    </row>
    <row r="53">
      <c r="B53" s="138" t="s">
        <v>20</v>
      </c>
      <c r="C53" s="110"/>
      <c r="D53" s="110">
        <v>3200.0</v>
      </c>
      <c r="E53" s="110">
        <f t="shared" si="14"/>
        <v>3200</v>
      </c>
      <c r="F53" s="110">
        <f>1600+1600</f>
        <v>3200</v>
      </c>
      <c r="G53" s="112">
        <f t="shared" si="15"/>
        <v>0</v>
      </c>
      <c r="I53" s="120"/>
      <c r="J53" s="120"/>
      <c r="K53" s="120"/>
      <c r="L53" s="120"/>
      <c r="M53" s="120"/>
      <c r="N53" s="120"/>
      <c r="O53" s="120"/>
      <c r="P53" s="120"/>
      <c r="Q53" s="120"/>
      <c r="R53" s="120"/>
    </row>
    <row r="54">
      <c r="B54" s="138"/>
      <c r="C54" s="110"/>
      <c r="D54" s="110"/>
      <c r="E54" s="110">
        <f t="shared" si="14"/>
        <v>0</v>
      </c>
      <c r="F54" s="110"/>
      <c r="G54" s="112">
        <f t="shared" si="15"/>
        <v>0</v>
      </c>
      <c r="I54" s="120"/>
      <c r="J54" s="120"/>
      <c r="K54" s="120"/>
      <c r="L54" s="120"/>
      <c r="M54" s="120"/>
      <c r="N54" s="120"/>
      <c r="O54" s="120"/>
      <c r="P54" s="120"/>
      <c r="Q54" s="120"/>
      <c r="R54" s="120"/>
    </row>
    <row r="55">
      <c r="A55" s="110" t="s">
        <v>112</v>
      </c>
      <c r="B55" s="145"/>
      <c r="C55" s="145"/>
      <c r="D55" s="145"/>
      <c r="E55" s="110"/>
      <c r="F55" s="145"/>
      <c r="G55" s="112"/>
      <c r="I55" s="120"/>
      <c r="J55" s="120"/>
      <c r="K55" s="120"/>
      <c r="L55" s="120"/>
      <c r="M55" s="120"/>
      <c r="N55" s="120"/>
      <c r="O55" s="120"/>
      <c r="P55" s="120"/>
      <c r="Q55" s="120"/>
      <c r="R55" s="120"/>
    </row>
    <row r="56">
      <c r="A56" s="110" t="s">
        <v>114</v>
      </c>
      <c r="B56" s="145"/>
      <c r="C56" s="144"/>
      <c r="D56" s="144"/>
      <c r="E56" s="110"/>
      <c r="F56" s="145"/>
      <c r="G56" s="112"/>
      <c r="I56" s="120"/>
      <c r="J56" s="120"/>
      <c r="K56" s="120"/>
      <c r="L56" s="120"/>
      <c r="M56" s="120"/>
      <c r="N56" s="120"/>
      <c r="O56" s="120"/>
      <c r="P56" s="120"/>
      <c r="Q56" s="120"/>
      <c r="R56" s="120"/>
    </row>
    <row r="57">
      <c r="A57" s="144"/>
      <c r="B57" s="55"/>
      <c r="C57" s="55"/>
      <c r="D57" s="55"/>
      <c r="E57" s="110">
        <f>sum(D57+A57)</f>
        <v>0</v>
      </c>
      <c r="F57" s="55"/>
      <c r="G57" s="112">
        <f>F57-E57</f>
        <v>0</v>
      </c>
      <c r="I57" s="120"/>
      <c r="J57" s="120"/>
      <c r="K57" s="120"/>
      <c r="L57" s="120"/>
      <c r="M57" s="120"/>
      <c r="N57" s="120"/>
      <c r="O57" s="120"/>
      <c r="P57" s="120"/>
      <c r="Q57" s="120"/>
      <c r="R57" s="120"/>
    </row>
    <row r="58">
      <c r="A58" s="120"/>
      <c r="B58" s="120"/>
      <c r="C58" s="120">
        <f t="shared" ref="C58:D58" si="16">sum(C46:C57)</f>
        <v>700</v>
      </c>
      <c r="D58" s="120">
        <f t="shared" si="16"/>
        <v>15213</v>
      </c>
      <c r="E58" s="120">
        <f t="shared" ref="E58:G58" si="17">sum(E46:E56)</f>
        <v>15213</v>
      </c>
      <c r="F58" s="55">
        <f t="shared" si="17"/>
        <v>15237</v>
      </c>
      <c r="G58" s="147">
        <f t="shared" si="17"/>
        <v>24</v>
      </c>
      <c r="I58" s="120"/>
      <c r="J58" s="120"/>
      <c r="K58" s="120"/>
      <c r="L58" s="120"/>
      <c r="M58" s="120"/>
      <c r="N58" s="120"/>
      <c r="O58" s="120"/>
      <c r="P58" s="120"/>
      <c r="Q58" s="120"/>
      <c r="R58" s="120"/>
    </row>
    <row r="59">
      <c r="A59" s="154" t="s">
        <v>10</v>
      </c>
      <c r="B59" s="154">
        <f>sum(F46:G56)</f>
        <v>15261</v>
      </c>
      <c r="C59" s="69"/>
      <c r="F59" s="44"/>
      <c r="G59" s="68"/>
    </row>
    <row r="60">
      <c r="G60" s="68"/>
      <c r="I60" s="155" t="s">
        <v>10</v>
      </c>
    </row>
    <row r="61">
      <c r="A61" s="157"/>
      <c r="B61" s="157"/>
      <c r="C61" s="158"/>
      <c r="G61" s="44"/>
      <c r="H61" s="68"/>
    </row>
    <row r="62">
      <c r="A62" s="40"/>
      <c r="B62" s="95"/>
      <c r="C62" s="97"/>
      <c r="D62" s="98"/>
      <c r="E62" s="98"/>
      <c r="F62" s="98"/>
      <c r="H62" s="68"/>
    </row>
    <row r="63">
      <c r="A63" s="40"/>
      <c r="B63" s="95"/>
      <c r="C63" s="97"/>
      <c r="D63" s="98"/>
      <c r="E63" s="98"/>
      <c r="H63" s="68"/>
    </row>
    <row r="64">
      <c r="A64" s="40"/>
      <c r="B64" s="95"/>
      <c r="C64" s="97"/>
      <c r="D64" s="98"/>
      <c r="H64" s="101"/>
    </row>
    <row r="65">
      <c r="A65" s="40"/>
      <c r="B65" s="95"/>
      <c r="C65" s="97"/>
      <c r="D65" s="98"/>
      <c r="E65" s="98"/>
      <c r="H65" s="101"/>
    </row>
    <row r="66">
      <c r="A66" s="40"/>
      <c r="B66" s="95"/>
      <c r="C66" s="97"/>
      <c r="D66" s="98"/>
      <c r="E66" s="98"/>
      <c r="H66" s="68"/>
      <c r="I66" s="104"/>
      <c r="J66" s="104"/>
      <c r="K66" s="104"/>
      <c r="L66" s="104"/>
      <c r="M66" s="104"/>
    </row>
    <row r="67">
      <c r="A67" s="40"/>
      <c r="B67" s="95"/>
      <c r="C67" s="97"/>
      <c r="D67" s="98"/>
      <c r="E67" s="98"/>
      <c r="F67" s="98"/>
      <c r="H67" s="68"/>
    </row>
    <row r="68">
      <c r="A68" s="40"/>
      <c r="B68" s="95"/>
      <c r="C68" s="97"/>
      <c r="D68" s="98"/>
      <c r="E68" s="98"/>
      <c r="F68" s="98"/>
      <c r="H68" s="68"/>
    </row>
    <row r="69">
      <c r="A69" s="40"/>
      <c r="B69" s="95"/>
      <c r="C69" s="97"/>
      <c r="D69" s="98"/>
      <c r="E69" s="98"/>
      <c r="F69" s="98"/>
      <c r="H69" s="68"/>
    </row>
    <row r="70">
      <c r="A70" s="40"/>
      <c r="B70" s="95"/>
      <c r="C70" s="97"/>
      <c r="D70" s="98"/>
      <c r="E70" s="98"/>
      <c r="F70" s="98"/>
      <c r="H70" s="68"/>
    </row>
    <row r="71">
      <c r="A71" s="40"/>
      <c r="B71" s="95"/>
      <c r="C71" s="97"/>
      <c r="D71" s="98"/>
      <c r="E71" s="98"/>
      <c r="F71" s="98"/>
      <c r="H71" s="68"/>
    </row>
    <row r="72">
      <c r="A72" s="40"/>
      <c r="B72" s="95"/>
      <c r="C72" s="97"/>
      <c r="D72" s="98"/>
      <c r="E72" s="98"/>
      <c r="F72" s="98"/>
      <c r="H72" s="93"/>
    </row>
    <row r="73">
      <c r="A73" s="40"/>
      <c r="B73" s="95"/>
      <c r="C73" s="97"/>
      <c r="D73" s="98"/>
      <c r="E73" s="98"/>
      <c r="F73" s="98"/>
      <c r="H73" s="101"/>
    </row>
    <row r="74">
      <c r="A74" s="40"/>
      <c r="B74" s="95"/>
      <c r="C74" s="97"/>
      <c r="D74" s="98"/>
      <c r="E74" s="98"/>
      <c r="F74" s="98"/>
      <c r="H74" s="68"/>
    </row>
    <row r="75">
      <c r="A75" s="40"/>
      <c r="B75" s="95"/>
      <c r="C75" s="97"/>
      <c r="D75" s="98"/>
      <c r="E75" s="98"/>
      <c r="F75" s="98"/>
      <c r="G75" s="44"/>
      <c r="H75" s="68"/>
      <c r="I75" s="111"/>
      <c r="N75" s="98"/>
    </row>
    <row r="76">
      <c r="A76" s="40"/>
      <c r="B76" s="95"/>
      <c r="C76" s="97"/>
      <c r="D76" s="98"/>
      <c r="E76" s="98"/>
      <c r="F76" s="98"/>
      <c r="G76" s="44"/>
      <c r="I76" s="111"/>
      <c r="N76" s="98"/>
    </row>
    <row r="77">
      <c r="A77" s="40"/>
      <c r="B77" s="95"/>
      <c r="C77" s="97"/>
      <c r="D77" s="98"/>
      <c r="E77" s="98"/>
      <c r="F77" s="98"/>
      <c r="G77" s="44"/>
      <c r="I77" s="111"/>
      <c r="N77" s="98"/>
    </row>
    <row r="78">
      <c r="A78" s="40"/>
      <c r="B78" s="95"/>
      <c r="C78" s="97"/>
      <c r="D78" s="98"/>
      <c r="E78" s="98"/>
      <c r="F78" s="98"/>
      <c r="G78" s="44"/>
      <c r="I78" s="111"/>
      <c r="N78" s="98"/>
    </row>
    <row r="79">
      <c r="A79" s="40"/>
      <c r="B79" s="95"/>
      <c r="C79" s="97"/>
      <c r="D79" s="98"/>
      <c r="E79" s="98"/>
      <c r="F79" s="98"/>
      <c r="G79" s="44"/>
      <c r="I79" s="111"/>
      <c r="N79" s="98"/>
    </row>
    <row r="80">
      <c r="A80" s="40"/>
      <c r="B80" s="95"/>
      <c r="C80" s="97"/>
      <c r="D80" s="98"/>
      <c r="E80" s="98"/>
      <c r="F80" s="98"/>
      <c r="G80" s="44"/>
      <c r="I80" s="111"/>
      <c r="N80" s="98"/>
    </row>
    <row r="81">
      <c r="A81" s="69"/>
      <c r="B81" s="69"/>
      <c r="C81" s="69"/>
      <c r="D81" s="69"/>
      <c r="E81" s="69"/>
      <c r="F81" s="69"/>
      <c r="G81" s="69"/>
    </row>
    <row r="82">
      <c r="A82" s="69"/>
      <c r="B82" s="69"/>
      <c r="C82" s="69"/>
      <c r="D82" s="69"/>
      <c r="E82" s="69"/>
      <c r="F82" s="69"/>
      <c r="G82" s="69"/>
    </row>
    <row r="83">
      <c r="A83" s="69"/>
      <c r="B83" s="69"/>
      <c r="C83" s="69"/>
      <c r="D83" s="69"/>
      <c r="E83" s="69"/>
      <c r="F83" s="69"/>
      <c r="G83" s="69"/>
    </row>
    <row r="85">
      <c r="A85" s="178"/>
      <c r="B85" s="179"/>
    </row>
    <row r="89">
      <c r="G89" s="181"/>
    </row>
    <row r="93">
      <c r="M93" s="192"/>
      <c r="N93" s="192"/>
      <c r="O93" s="192"/>
      <c r="P93" s="192"/>
    </row>
    <row r="94">
      <c r="M94" s="192"/>
      <c r="N94" s="192"/>
      <c r="O94" s="192"/>
      <c r="P94" s="192"/>
    </row>
    <row r="95">
      <c r="M95" s="192"/>
      <c r="N95" s="192"/>
      <c r="O95" s="192"/>
      <c r="P95" s="192"/>
    </row>
    <row r="96">
      <c r="M96" s="192"/>
      <c r="N96" s="193"/>
      <c r="O96" s="193"/>
      <c r="P96" s="192"/>
    </row>
    <row r="97">
      <c r="M97" s="193"/>
      <c r="N97" s="193"/>
      <c r="O97" s="193"/>
      <c r="P97" s="192"/>
    </row>
    <row r="98">
      <c r="M98" s="192"/>
      <c r="N98" s="193"/>
      <c r="O98" s="193"/>
      <c r="P98" s="192"/>
    </row>
    <row r="99">
      <c r="M99" s="192"/>
      <c r="N99" s="193"/>
      <c r="O99" s="193"/>
      <c r="P99" s="192"/>
    </row>
    <row r="100">
      <c r="M100" s="192"/>
      <c r="N100" s="193"/>
      <c r="O100" s="193"/>
      <c r="P100" s="192"/>
    </row>
    <row r="101">
      <c r="M101" s="192"/>
      <c r="N101" s="193"/>
      <c r="O101" s="193"/>
      <c r="P101" s="192"/>
    </row>
    <row r="102">
      <c r="M102" s="192"/>
      <c r="N102" s="193"/>
      <c r="O102" s="193"/>
      <c r="P102" s="192"/>
    </row>
    <row r="103">
      <c r="M103" s="192"/>
      <c r="N103" s="193"/>
      <c r="O103" s="193"/>
      <c r="P103" s="192"/>
    </row>
    <row r="104">
      <c r="M104" s="192"/>
      <c r="N104" s="193"/>
      <c r="O104" s="193"/>
      <c r="P104" s="192"/>
    </row>
    <row r="105">
      <c r="M105" s="192"/>
      <c r="N105" s="192"/>
      <c r="O105" s="192"/>
      <c r="P105" s="192"/>
    </row>
    <row r="106">
      <c r="M106" s="193"/>
      <c r="N106" s="193"/>
      <c r="O106" s="193"/>
      <c r="P106" s="192"/>
    </row>
    <row r="107">
      <c r="M107" s="192"/>
      <c r="N107" s="193"/>
      <c r="O107" s="193"/>
      <c r="P107" s="192"/>
    </row>
    <row r="108">
      <c r="M108" s="192"/>
      <c r="N108" s="193"/>
      <c r="O108" s="193"/>
      <c r="P108" s="192"/>
    </row>
    <row r="109">
      <c r="M109" s="192"/>
      <c r="N109" s="193"/>
      <c r="O109" s="193"/>
      <c r="P109" s="192"/>
    </row>
    <row r="110">
      <c r="M110" s="192"/>
      <c r="N110" s="193"/>
      <c r="O110" s="193"/>
      <c r="P110" s="192"/>
    </row>
    <row r="111">
      <c r="M111" s="192"/>
      <c r="N111" s="192"/>
      <c r="O111" s="192"/>
      <c r="P111" s="192"/>
    </row>
    <row r="112">
      <c r="M112" s="193"/>
      <c r="N112" s="193"/>
      <c r="O112" s="193"/>
      <c r="P112" s="192"/>
    </row>
    <row r="113">
      <c r="M113" s="192"/>
      <c r="N113" s="193"/>
      <c r="O113" s="193"/>
      <c r="P113" s="192"/>
    </row>
    <row r="114">
      <c r="M114" s="192"/>
      <c r="N114" s="193"/>
      <c r="O114" s="193"/>
      <c r="P114" s="192"/>
    </row>
    <row r="115">
      <c r="M115" s="192"/>
      <c r="N115" s="192"/>
      <c r="O115" s="192"/>
      <c r="P115" s="192"/>
    </row>
    <row r="116">
      <c r="M116" s="193"/>
      <c r="N116" s="193"/>
      <c r="O116" s="193"/>
      <c r="P116" s="192"/>
    </row>
    <row r="117">
      <c r="M117" s="192"/>
      <c r="N117" s="193"/>
      <c r="O117" s="193"/>
      <c r="P117" s="192"/>
    </row>
    <row r="118">
      <c r="M118" s="192"/>
      <c r="N118" s="192"/>
      <c r="O118" s="192"/>
      <c r="P118" s="192"/>
    </row>
    <row r="131">
      <c r="H131" s="44" t="s">
        <v>181</v>
      </c>
    </row>
    <row r="132">
      <c r="H132" s="44" t="s">
        <v>182</v>
      </c>
      <c r="I132" s="44" t="s">
        <v>183</v>
      </c>
    </row>
    <row r="133">
      <c r="H133" s="44" t="s">
        <v>184</v>
      </c>
      <c r="I133" s="44" t="s">
        <v>185</v>
      </c>
    </row>
    <row r="134">
      <c r="H134" s="44" t="s">
        <v>186</v>
      </c>
      <c r="I134" s="44" t="s">
        <v>187</v>
      </c>
    </row>
    <row r="135">
      <c r="H135" s="44" t="s">
        <v>188</v>
      </c>
      <c r="I135" s="44" t="s">
        <v>189</v>
      </c>
    </row>
    <row r="136">
      <c r="H136" s="44" t="s">
        <v>190</v>
      </c>
      <c r="I136" s="44" t="s">
        <v>191</v>
      </c>
    </row>
    <row r="137">
      <c r="H137" s="44" t="s">
        <v>192</v>
      </c>
      <c r="I137" s="44" t="s">
        <v>193</v>
      </c>
    </row>
    <row r="138">
      <c r="H138" s="44" t="s">
        <v>194</v>
      </c>
      <c r="I138" s="44" t="s">
        <v>193</v>
      </c>
    </row>
    <row r="140">
      <c r="H140" s="44" t="s">
        <v>195</v>
      </c>
    </row>
    <row r="141">
      <c r="H141" s="44" t="s">
        <v>196</v>
      </c>
      <c r="I141" s="44" t="s">
        <v>197</v>
      </c>
    </row>
    <row r="142">
      <c r="H142" s="44" t="s">
        <v>198</v>
      </c>
      <c r="I142" s="44" t="s">
        <v>199</v>
      </c>
    </row>
    <row r="143">
      <c r="H143" s="44" t="s">
        <v>200</v>
      </c>
      <c r="I143" s="44" t="s">
        <v>201</v>
      </c>
    </row>
    <row r="144">
      <c r="H144" s="44">
        <v>15.0</v>
      </c>
      <c r="I144" s="44" t="s">
        <v>202</v>
      </c>
    </row>
    <row r="145">
      <c r="H145" s="44" t="s">
        <v>203</v>
      </c>
      <c r="I145" s="44" t="s">
        <v>202</v>
      </c>
    </row>
    <row r="146">
      <c r="H146" s="44" t="s">
        <v>204</v>
      </c>
      <c r="I146" s="44" t="s">
        <v>205</v>
      </c>
    </row>
    <row r="147">
      <c r="H147" s="44" t="s">
        <v>206</v>
      </c>
      <c r="I147" s="44" t="s">
        <v>207</v>
      </c>
    </row>
    <row r="148">
      <c r="H148" s="44" t="s">
        <v>208</v>
      </c>
      <c r="I148" s="44" t="s">
        <v>209</v>
      </c>
    </row>
    <row r="149">
      <c r="H149" s="44" t="s">
        <v>210</v>
      </c>
      <c r="I149" s="44" t="s">
        <v>211</v>
      </c>
      <c r="J149" s="44" t="s">
        <v>212</v>
      </c>
    </row>
    <row r="150">
      <c r="I150" s="44" t="s">
        <v>213</v>
      </c>
      <c r="J150" s="44" t="s">
        <v>212</v>
      </c>
    </row>
    <row r="151">
      <c r="H151" s="44" t="s">
        <v>214</v>
      </c>
      <c r="I151" s="44" t="s">
        <v>215</v>
      </c>
      <c r="J151" s="44" t="s">
        <v>212</v>
      </c>
    </row>
    <row r="152">
      <c r="I152" s="44" t="s">
        <v>216</v>
      </c>
      <c r="J152" s="44" t="s">
        <v>212</v>
      </c>
    </row>
    <row r="153">
      <c r="H153" s="44" t="s">
        <v>217</v>
      </c>
      <c r="I153" s="44" t="s">
        <v>218</v>
      </c>
      <c r="J153" s="44" t="s">
        <v>212</v>
      </c>
    </row>
    <row r="154">
      <c r="H154" s="44" t="s">
        <v>219</v>
      </c>
      <c r="I154" s="44" t="s">
        <v>220</v>
      </c>
      <c r="J154" s="44" t="s">
        <v>221</v>
      </c>
    </row>
    <row r="155">
      <c r="I155" s="44" t="s">
        <v>222</v>
      </c>
      <c r="J155" s="44" t="s">
        <v>212</v>
      </c>
    </row>
    <row r="156">
      <c r="H156" s="44" t="s">
        <v>223</v>
      </c>
      <c r="I156" s="44" t="s">
        <v>224</v>
      </c>
      <c r="J156" s="44" t="s">
        <v>212</v>
      </c>
    </row>
    <row r="157">
      <c r="I157" s="44" t="s">
        <v>225</v>
      </c>
      <c r="J157" s="44" t="s">
        <v>212</v>
      </c>
    </row>
    <row r="158">
      <c r="I158" s="44" t="s">
        <v>226</v>
      </c>
      <c r="J158" s="44" t="s">
        <v>212</v>
      </c>
    </row>
    <row r="159">
      <c r="I159" s="44" t="s">
        <v>227</v>
      </c>
      <c r="J159" s="44" t="s">
        <v>228</v>
      </c>
    </row>
    <row r="161">
      <c r="H161" s="44" t="s">
        <v>229</v>
      </c>
    </row>
    <row r="162">
      <c r="H162" s="44" t="s">
        <v>230</v>
      </c>
      <c r="I162" s="44" t="s">
        <v>231</v>
      </c>
      <c r="J162" s="44" t="s">
        <v>221</v>
      </c>
    </row>
    <row r="163">
      <c r="H163" s="44" t="s">
        <v>204</v>
      </c>
      <c r="I163" s="44" t="s">
        <v>231</v>
      </c>
      <c r="J163" s="44" t="s">
        <v>232</v>
      </c>
    </row>
    <row r="164">
      <c r="I164" s="44" t="s">
        <v>233</v>
      </c>
      <c r="J164" s="44" t="s">
        <v>232</v>
      </c>
    </row>
    <row r="165">
      <c r="H165" s="44">
        <v>17.0</v>
      </c>
      <c r="I165" s="44" t="s">
        <v>233</v>
      </c>
      <c r="J165" s="44" t="s">
        <v>232</v>
      </c>
    </row>
    <row r="166">
      <c r="H166" s="44">
        <v>15.0</v>
      </c>
      <c r="I166" s="44" t="s">
        <v>233</v>
      </c>
      <c r="J166" s="44" t="s">
        <v>232</v>
      </c>
    </row>
  </sheetData>
  <mergeCells count="10">
    <mergeCell ref="B1:B2"/>
    <mergeCell ref="A43:C43"/>
    <mergeCell ref="J43:L43"/>
    <mergeCell ref="A1:A2"/>
    <mergeCell ref="C1:E1"/>
    <mergeCell ref="F1:H1"/>
    <mergeCell ref="I1:K1"/>
    <mergeCell ref="L1:N1"/>
    <mergeCell ref="O1:O2"/>
    <mergeCell ref="R1:V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5"/>
    <col customWidth="1" min="2" max="2" width="12.5"/>
    <col customWidth="1" min="3" max="3" width="13.88"/>
    <col customWidth="1" min="4" max="5" width="11.38"/>
    <col customWidth="1" min="6" max="6" width="11.88"/>
    <col customWidth="1" min="7" max="7" width="11.13"/>
    <col customWidth="1" min="8" max="8" width="11.5"/>
    <col customWidth="1" min="9" max="9" width="10.5"/>
    <col customWidth="1" min="10" max="10" width="12.5"/>
    <col customWidth="1" min="11" max="12" width="10.88"/>
    <col customWidth="1" min="13" max="13" width="11.25"/>
    <col customWidth="1" min="14" max="14" width="11.63"/>
    <col customWidth="1" min="15" max="15" width="13.5"/>
    <col customWidth="1" min="16" max="16" width="11.25"/>
    <col customWidth="1" min="17" max="17" width="13.5"/>
    <col customWidth="1" min="18" max="18" width="9.75"/>
    <col customWidth="1" min="19" max="20" width="10.88"/>
    <col customWidth="1" min="21" max="21" width="9.13"/>
    <col customWidth="1" min="22" max="22" width="8.25"/>
  </cols>
  <sheetData>
    <row r="1">
      <c r="A1" s="1" t="s">
        <v>0</v>
      </c>
      <c r="B1" s="3" t="s">
        <v>1</v>
      </c>
      <c r="C1" s="5" t="s">
        <v>2</v>
      </c>
      <c r="D1" s="4"/>
      <c r="E1" s="6"/>
      <c r="F1" s="8" t="s">
        <v>3</v>
      </c>
      <c r="G1" s="4"/>
      <c r="H1" s="6"/>
      <c r="I1" s="9" t="s">
        <v>4</v>
      </c>
      <c r="J1" s="4"/>
      <c r="K1" s="6"/>
      <c r="L1" s="10" t="s">
        <v>5</v>
      </c>
      <c r="M1" s="4"/>
      <c r="N1" s="6"/>
      <c r="O1" s="12" t="s">
        <v>6</v>
      </c>
      <c r="P1" s="14"/>
      <c r="Q1" s="14"/>
      <c r="R1" s="14" t="s">
        <v>7</v>
      </c>
    </row>
    <row r="2">
      <c r="A2" s="16"/>
      <c r="B2" s="17"/>
      <c r="C2" s="18" t="s">
        <v>8</v>
      </c>
      <c r="D2" s="18" t="s">
        <v>9</v>
      </c>
      <c r="E2" s="18" t="s">
        <v>10</v>
      </c>
      <c r="F2" s="20" t="s">
        <v>8</v>
      </c>
      <c r="G2" s="20" t="s">
        <v>9</v>
      </c>
      <c r="H2" s="20" t="s">
        <v>10</v>
      </c>
      <c r="I2" s="22" t="s">
        <v>8</v>
      </c>
      <c r="J2" s="22" t="s">
        <v>9</v>
      </c>
      <c r="K2" s="22" t="s">
        <v>10</v>
      </c>
      <c r="L2" s="23" t="s">
        <v>8</v>
      </c>
      <c r="M2" s="23" t="s">
        <v>9</v>
      </c>
      <c r="N2" s="23" t="s">
        <v>10</v>
      </c>
      <c r="O2" s="16"/>
      <c r="P2" s="25"/>
      <c r="Q2" s="25"/>
      <c r="R2" s="25" t="s">
        <v>11</v>
      </c>
      <c r="S2" s="25" t="s">
        <v>3</v>
      </c>
      <c r="T2" s="25" t="s">
        <v>4</v>
      </c>
      <c r="U2" s="25" t="s">
        <v>5</v>
      </c>
      <c r="V2" s="25" t="s">
        <v>12</v>
      </c>
    </row>
    <row r="3">
      <c r="A3" s="29" t="s">
        <v>13</v>
      </c>
      <c r="B3" s="31">
        <v>46174.0</v>
      </c>
      <c r="C3" s="33">
        <v>247.9</v>
      </c>
      <c r="D3" s="33">
        <v>565.04</v>
      </c>
      <c r="E3" s="35">
        <f t="shared" ref="E3:E32" si="1">C3+D3</f>
        <v>812.94</v>
      </c>
      <c r="F3" s="33">
        <v>21.65</v>
      </c>
      <c r="G3" s="33">
        <v>277.93</v>
      </c>
      <c r="H3" s="35">
        <f t="shared" ref="H3:H32" si="2">F3+G3</f>
        <v>299.58</v>
      </c>
      <c r="I3" s="33">
        <v>52.89</v>
      </c>
      <c r="J3" s="33">
        <v>171.04</v>
      </c>
      <c r="K3" s="35">
        <f t="shared" ref="K3:K32" si="3">I3+J3</f>
        <v>223.93</v>
      </c>
      <c r="L3" s="33">
        <v>281.46</v>
      </c>
      <c r="M3" s="33">
        <v>191.61</v>
      </c>
      <c r="N3" s="35">
        <f t="shared" ref="N3:N32" si="4">L3+M3</f>
        <v>473.07</v>
      </c>
      <c r="O3" s="38">
        <f t="shared" ref="O3:O32" si="5">SUM(E3+H3+K3+N3)</f>
        <v>1809.52</v>
      </c>
      <c r="P3" s="40" t="s">
        <v>13</v>
      </c>
      <c r="Q3" s="31">
        <v>46174.0</v>
      </c>
      <c r="R3" s="41" t="s">
        <v>16</v>
      </c>
      <c r="S3" s="42" t="s">
        <v>17</v>
      </c>
      <c r="T3" s="42" t="s">
        <v>18</v>
      </c>
      <c r="U3" s="42" t="s">
        <v>19</v>
      </c>
      <c r="V3" s="43">
        <v>10.0</v>
      </c>
    </row>
    <row r="4">
      <c r="A4" s="29" t="s">
        <v>21</v>
      </c>
      <c r="B4" s="31">
        <v>46175.0</v>
      </c>
      <c r="C4" s="33">
        <v>194.85</v>
      </c>
      <c r="D4" s="33">
        <v>817.96</v>
      </c>
      <c r="E4" s="35">
        <f t="shared" si="1"/>
        <v>1012.81</v>
      </c>
      <c r="F4" s="33">
        <v>176.97</v>
      </c>
      <c r="G4" s="33">
        <v>378.87</v>
      </c>
      <c r="H4" s="35">
        <f t="shared" si="2"/>
        <v>555.84</v>
      </c>
      <c r="I4" s="33">
        <v>103.71</v>
      </c>
      <c r="J4" s="33">
        <v>37.89</v>
      </c>
      <c r="K4" s="35">
        <f t="shared" si="3"/>
        <v>141.6</v>
      </c>
      <c r="L4" s="33">
        <v>86.65</v>
      </c>
      <c r="M4" s="33">
        <v>176.7</v>
      </c>
      <c r="N4" s="35">
        <f t="shared" si="4"/>
        <v>263.35</v>
      </c>
      <c r="O4" s="38">
        <f t="shared" si="5"/>
        <v>1973.6</v>
      </c>
      <c r="P4" s="40" t="s">
        <v>21</v>
      </c>
      <c r="Q4" s="31">
        <v>46175.0</v>
      </c>
      <c r="R4" s="41" t="s">
        <v>16</v>
      </c>
      <c r="S4" s="42" t="s">
        <v>17</v>
      </c>
      <c r="T4" s="42" t="s">
        <v>18</v>
      </c>
      <c r="U4" s="42" t="s">
        <v>19</v>
      </c>
      <c r="V4" s="43">
        <v>10.0</v>
      </c>
    </row>
    <row r="5">
      <c r="A5" s="29" t="s">
        <v>24</v>
      </c>
      <c r="B5" s="31">
        <v>46176.0</v>
      </c>
      <c r="C5" s="33">
        <v>137.99</v>
      </c>
      <c r="D5" s="33">
        <v>1138.29</v>
      </c>
      <c r="E5" s="35">
        <f t="shared" si="1"/>
        <v>1276.28</v>
      </c>
      <c r="F5" s="33">
        <v>162.37</v>
      </c>
      <c r="G5" s="33">
        <v>37.89</v>
      </c>
      <c r="H5" s="35">
        <f t="shared" si="2"/>
        <v>200.26</v>
      </c>
      <c r="I5" s="33">
        <v>50.0</v>
      </c>
      <c r="J5" s="33">
        <v>194.31</v>
      </c>
      <c r="K5" s="35">
        <f t="shared" si="3"/>
        <v>244.31</v>
      </c>
      <c r="L5" s="33">
        <v>79.95</v>
      </c>
      <c r="M5" s="33">
        <v>56.02</v>
      </c>
      <c r="N5" s="35">
        <f t="shared" si="4"/>
        <v>135.97</v>
      </c>
      <c r="O5" s="38">
        <f t="shared" si="5"/>
        <v>1856.82</v>
      </c>
      <c r="P5" s="40" t="s">
        <v>24</v>
      </c>
      <c r="Q5" s="31">
        <v>46176.0</v>
      </c>
      <c r="R5" s="41" t="s">
        <v>16</v>
      </c>
      <c r="S5" s="42" t="s">
        <v>18</v>
      </c>
      <c r="T5" s="42" t="s">
        <v>25</v>
      </c>
      <c r="U5" s="42" t="s">
        <v>19</v>
      </c>
      <c r="V5" s="43">
        <v>10.0</v>
      </c>
    </row>
    <row r="6">
      <c r="A6" s="29" t="s">
        <v>26</v>
      </c>
      <c r="B6" s="31">
        <v>46177.0</v>
      </c>
      <c r="C6" s="45"/>
      <c r="D6" s="45"/>
      <c r="E6" s="47">
        <f t="shared" si="1"/>
        <v>0</v>
      </c>
      <c r="F6" s="33">
        <v>87.06</v>
      </c>
      <c r="G6" s="33">
        <v>140.72</v>
      </c>
      <c r="H6" s="35">
        <f t="shared" si="2"/>
        <v>227.78</v>
      </c>
      <c r="I6" s="33">
        <v>95.0</v>
      </c>
      <c r="J6" s="33">
        <v>144.91</v>
      </c>
      <c r="K6" s="35">
        <f t="shared" si="3"/>
        <v>239.91</v>
      </c>
      <c r="L6" s="33">
        <v>116.6</v>
      </c>
      <c r="M6" s="33">
        <v>254.4</v>
      </c>
      <c r="N6" s="35">
        <f t="shared" si="4"/>
        <v>371</v>
      </c>
      <c r="O6" s="38">
        <f t="shared" si="5"/>
        <v>838.69</v>
      </c>
      <c r="P6" s="40" t="s">
        <v>26</v>
      </c>
      <c r="Q6" s="31">
        <v>46177.0</v>
      </c>
      <c r="R6" s="41" t="s">
        <v>16</v>
      </c>
      <c r="S6" s="42" t="s">
        <v>17</v>
      </c>
      <c r="T6" s="42" t="s">
        <v>25</v>
      </c>
      <c r="U6" s="44" t="s">
        <v>19</v>
      </c>
      <c r="V6" s="43">
        <v>10.0</v>
      </c>
    </row>
    <row r="7">
      <c r="A7" s="29" t="s">
        <v>14</v>
      </c>
      <c r="B7" s="31">
        <v>46178.0</v>
      </c>
      <c r="C7" s="45"/>
      <c r="D7" s="45"/>
      <c r="E7" s="47">
        <f t="shared" si="1"/>
        <v>0</v>
      </c>
      <c r="F7" s="33">
        <v>19.0</v>
      </c>
      <c r="G7" s="33">
        <v>271.91</v>
      </c>
      <c r="H7" s="35">
        <f t="shared" si="2"/>
        <v>290.91</v>
      </c>
      <c r="I7" s="33">
        <v>330.04</v>
      </c>
      <c r="J7" s="33">
        <v>191.71</v>
      </c>
      <c r="K7" s="35">
        <f t="shared" si="3"/>
        <v>521.75</v>
      </c>
      <c r="L7" s="33">
        <v>83.15</v>
      </c>
      <c r="M7" s="33">
        <v>128.05</v>
      </c>
      <c r="N7" s="35">
        <f t="shared" si="4"/>
        <v>211.2</v>
      </c>
      <c r="O7" s="38">
        <f t="shared" si="5"/>
        <v>1023.86</v>
      </c>
      <c r="P7" s="40" t="s">
        <v>14</v>
      </c>
      <c r="Q7" s="31">
        <v>46178.0</v>
      </c>
      <c r="R7" s="48" t="s">
        <v>31</v>
      </c>
      <c r="S7" s="42" t="s">
        <v>17</v>
      </c>
      <c r="T7" s="42" t="s">
        <v>16</v>
      </c>
      <c r="U7" s="42" t="s">
        <v>19</v>
      </c>
      <c r="V7" s="43">
        <v>11.0</v>
      </c>
    </row>
    <row r="8">
      <c r="A8" s="29" t="s">
        <v>15</v>
      </c>
      <c r="B8" s="31">
        <v>46179.0</v>
      </c>
      <c r="C8" s="45"/>
      <c r="D8" s="45"/>
      <c r="E8" s="47">
        <f t="shared" si="1"/>
        <v>0</v>
      </c>
      <c r="F8" s="33">
        <v>396.73</v>
      </c>
      <c r="G8" s="33">
        <v>932.72</v>
      </c>
      <c r="H8" s="49">
        <f t="shared" si="2"/>
        <v>1329.45</v>
      </c>
      <c r="I8" s="33">
        <v>126.01</v>
      </c>
      <c r="J8" s="33">
        <v>820.7</v>
      </c>
      <c r="K8" s="35">
        <f t="shared" si="3"/>
        <v>946.71</v>
      </c>
      <c r="L8" s="33">
        <v>100.31</v>
      </c>
      <c r="M8" s="33">
        <v>429.49</v>
      </c>
      <c r="N8" s="35">
        <f t="shared" si="4"/>
        <v>529.8</v>
      </c>
      <c r="O8" s="38">
        <f t="shared" si="5"/>
        <v>2805.96</v>
      </c>
      <c r="P8" s="40" t="s">
        <v>15</v>
      </c>
      <c r="Q8" s="31">
        <v>46179.0</v>
      </c>
      <c r="R8" s="48" t="s">
        <v>31</v>
      </c>
      <c r="S8" s="42" t="s">
        <v>16</v>
      </c>
      <c r="T8" s="42" t="s">
        <v>29</v>
      </c>
      <c r="U8" s="42" t="s">
        <v>18</v>
      </c>
      <c r="V8" s="43">
        <v>11.0</v>
      </c>
    </row>
    <row r="9">
      <c r="A9" s="29" t="s">
        <v>22</v>
      </c>
      <c r="B9" s="31">
        <v>46180.0</v>
      </c>
      <c r="C9" s="45"/>
      <c r="D9" s="45"/>
      <c r="E9" s="47">
        <f t="shared" si="1"/>
        <v>0</v>
      </c>
      <c r="F9" s="33">
        <v>52.0</v>
      </c>
      <c r="G9" s="33">
        <v>473.07</v>
      </c>
      <c r="H9" s="35">
        <f t="shared" si="2"/>
        <v>525.07</v>
      </c>
      <c r="I9" s="33">
        <v>252.79</v>
      </c>
      <c r="J9" s="33">
        <v>148.3</v>
      </c>
      <c r="K9" s="35">
        <f t="shared" si="3"/>
        <v>401.09</v>
      </c>
      <c r="L9" s="33">
        <v>234.34</v>
      </c>
      <c r="M9" s="33">
        <v>185.12</v>
      </c>
      <c r="N9" s="35">
        <f t="shared" si="4"/>
        <v>419.46</v>
      </c>
      <c r="O9" s="38">
        <f t="shared" si="5"/>
        <v>1345.62</v>
      </c>
      <c r="P9" s="40" t="s">
        <v>22</v>
      </c>
      <c r="Q9" s="31">
        <v>46180.0</v>
      </c>
      <c r="R9" s="48" t="s">
        <v>31</v>
      </c>
      <c r="S9" s="42" t="s">
        <v>16</v>
      </c>
      <c r="T9" s="42" t="s">
        <v>29</v>
      </c>
      <c r="U9" s="42" t="s">
        <v>18</v>
      </c>
      <c r="V9" s="43">
        <v>8.0</v>
      </c>
    </row>
    <row r="10">
      <c r="A10" s="29" t="s">
        <v>13</v>
      </c>
      <c r="B10" s="31">
        <v>46181.0</v>
      </c>
      <c r="C10" s="45"/>
      <c r="D10" s="45"/>
      <c r="E10" s="47">
        <f t="shared" si="1"/>
        <v>0</v>
      </c>
      <c r="F10" s="33">
        <v>41.65</v>
      </c>
      <c r="G10" s="33">
        <v>395.11</v>
      </c>
      <c r="H10" s="35">
        <f t="shared" si="2"/>
        <v>436.76</v>
      </c>
      <c r="I10" s="33">
        <v>86.65</v>
      </c>
      <c r="J10" s="33">
        <v>308.74</v>
      </c>
      <c r="K10" s="35">
        <f t="shared" si="3"/>
        <v>395.39</v>
      </c>
      <c r="L10" s="33">
        <v>0.0</v>
      </c>
      <c r="M10" s="33">
        <v>464.4</v>
      </c>
      <c r="N10" s="35">
        <f t="shared" si="4"/>
        <v>464.4</v>
      </c>
      <c r="O10" s="38">
        <f t="shared" si="5"/>
        <v>1296.55</v>
      </c>
      <c r="P10" s="40" t="s">
        <v>13</v>
      </c>
      <c r="Q10" s="31">
        <v>46181.0</v>
      </c>
      <c r="R10" s="48" t="s">
        <v>31</v>
      </c>
      <c r="S10" s="42" t="s">
        <v>17</v>
      </c>
      <c r="T10" s="42" t="s">
        <v>19</v>
      </c>
      <c r="U10" s="42" t="s">
        <v>16</v>
      </c>
      <c r="V10" s="43">
        <v>10.0</v>
      </c>
    </row>
    <row r="11">
      <c r="A11" s="29" t="s">
        <v>21</v>
      </c>
      <c r="B11" s="31">
        <v>46182.0</v>
      </c>
      <c r="C11" s="45"/>
      <c r="D11" s="45"/>
      <c r="E11" s="47">
        <f t="shared" si="1"/>
        <v>0</v>
      </c>
      <c r="F11" s="33">
        <v>122.33</v>
      </c>
      <c r="G11" s="33">
        <v>126.39</v>
      </c>
      <c r="H11" s="35">
        <f t="shared" si="2"/>
        <v>248.72</v>
      </c>
      <c r="I11" s="33">
        <v>65.0</v>
      </c>
      <c r="J11" s="33">
        <v>324.77</v>
      </c>
      <c r="K11" s="35">
        <f t="shared" si="3"/>
        <v>389.77</v>
      </c>
      <c r="L11" s="33">
        <v>91.04</v>
      </c>
      <c r="M11" s="33">
        <v>0.0</v>
      </c>
      <c r="N11" s="35">
        <f t="shared" si="4"/>
        <v>91.04</v>
      </c>
      <c r="O11" s="38">
        <f t="shared" si="5"/>
        <v>729.53</v>
      </c>
      <c r="P11" s="40" t="s">
        <v>21</v>
      </c>
      <c r="Q11" s="31">
        <v>46182.0</v>
      </c>
      <c r="R11" s="48" t="s">
        <v>31</v>
      </c>
      <c r="S11" s="42" t="s">
        <v>25</v>
      </c>
      <c r="T11" s="42" t="s">
        <v>18</v>
      </c>
      <c r="U11" s="42" t="s">
        <v>16</v>
      </c>
      <c r="V11" s="43">
        <v>10.0</v>
      </c>
    </row>
    <row r="12">
      <c r="A12" s="29" t="s">
        <v>24</v>
      </c>
      <c r="B12" s="31">
        <v>46183.0</v>
      </c>
      <c r="C12" s="53"/>
      <c r="D12" s="53"/>
      <c r="E12" s="47">
        <f t="shared" si="1"/>
        <v>0</v>
      </c>
      <c r="F12" s="33">
        <v>21.24</v>
      </c>
      <c r="G12" s="33">
        <v>96.35</v>
      </c>
      <c r="H12" s="35">
        <f t="shared" si="2"/>
        <v>117.59</v>
      </c>
      <c r="I12" s="33">
        <v>46.65</v>
      </c>
      <c r="J12" s="33">
        <v>193.8</v>
      </c>
      <c r="K12" s="35">
        <f t="shared" si="3"/>
        <v>240.45</v>
      </c>
      <c r="L12" s="33">
        <v>119.08</v>
      </c>
      <c r="M12" s="33">
        <v>83.36</v>
      </c>
      <c r="N12" s="35">
        <f t="shared" si="4"/>
        <v>202.44</v>
      </c>
      <c r="O12" s="38">
        <f t="shared" si="5"/>
        <v>560.48</v>
      </c>
      <c r="P12" s="40" t="s">
        <v>24</v>
      </c>
      <c r="Q12" s="31">
        <v>46183.0</v>
      </c>
      <c r="R12" s="48" t="s">
        <v>31</v>
      </c>
      <c r="S12" s="42" t="s">
        <v>16</v>
      </c>
      <c r="T12" s="42" t="s">
        <v>19</v>
      </c>
      <c r="U12" s="42" t="s">
        <v>18</v>
      </c>
      <c r="V12" s="43">
        <v>10.0</v>
      </c>
    </row>
    <row r="13">
      <c r="A13" s="29" t="s">
        <v>26</v>
      </c>
      <c r="B13" s="31">
        <v>46184.0</v>
      </c>
      <c r="C13" s="33">
        <v>100.0</v>
      </c>
      <c r="D13" s="33">
        <v>475.23</v>
      </c>
      <c r="E13" s="35">
        <f t="shared" si="1"/>
        <v>575.23</v>
      </c>
      <c r="F13" s="33">
        <v>25.0</v>
      </c>
      <c r="G13" s="33">
        <v>322.7</v>
      </c>
      <c r="H13" s="35">
        <f t="shared" si="2"/>
        <v>347.7</v>
      </c>
      <c r="I13" s="33">
        <v>0.0</v>
      </c>
      <c r="J13" s="33">
        <v>156.96</v>
      </c>
      <c r="K13" s="35">
        <f t="shared" si="3"/>
        <v>156.96</v>
      </c>
      <c r="L13" s="33">
        <v>115.02</v>
      </c>
      <c r="M13" s="33">
        <v>183.86</v>
      </c>
      <c r="N13" s="35">
        <f t="shared" si="4"/>
        <v>298.88</v>
      </c>
      <c r="O13" s="38">
        <f t="shared" si="5"/>
        <v>1378.77</v>
      </c>
      <c r="P13" s="40" t="s">
        <v>26</v>
      </c>
      <c r="Q13" s="31">
        <v>46184.0</v>
      </c>
      <c r="R13" s="41" t="s">
        <v>16</v>
      </c>
      <c r="S13" s="42" t="s">
        <v>38</v>
      </c>
      <c r="T13" s="42" t="s">
        <v>19</v>
      </c>
      <c r="U13" s="42" t="s">
        <v>18</v>
      </c>
      <c r="V13" s="43">
        <v>10.0</v>
      </c>
    </row>
    <row r="14">
      <c r="A14" s="29" t="s">
        <v>14</v>
      </c>
      <c r="B14" s="31">
        <v>46185.0</v>
      </c>
      <c r="C14" s="33">
        <v>311.71</v>
      </c>
      <c r="D14" s="33">
        <v>439.33</v>
      </c>
      <c r="E14" s="35">
        <f t="shared" si="1"/>
        <v>751.04</v>
      </c>
      <c r="F14" s="33">
        <v>73.3</v>
      </c>
      <c r="G14" s="33">
        <v>402.39</v>
      </c>
      <c r="H14" s="35">
        <f t="shared" si="2"/>
        <v>475.69</v>
      </c>
      <c r="I14" s="33">
        <v>20.0</v>
      </c>
      <c r="J14" s="33">
        <v>230.58</v>
      </c>
      <c r="K14" s="35">
        <f t="shared" si="3"/>
        <v>250.58</v>
      </c>
      <c r="L14" s="33">
        <v>27.06</v>
      </c>
      <c r="M14" s="33">
        <v>100.67</v>
      </c>
      <c r="N14" s="35">
        <f t="shared" si="4"/>
        <v>127.73</v>
      </c>
      <c r="O14" s="38">
        <f t="shared" si="5"/>
        <v>1605.04</v>
      </c>
      <c r="P14" s="40" t="s">
        <v>14</v>
      </c>
      <c r="Q14" s="31">
        <v>46185.0</v>
      </c>
      <c r="R14" s="41" t="s">
        <v>16</v>
      </c>
      <c r="S14" s="42" t="s">
        <v>29</v>
      </c>
      <c r="T14" s="44" t="s">
        <v>19</v>
      </c>
      <c r="U14" s="42" t="s">
        <v>18</v>
      </c>
      <c r="V14" s="43">
        <v>11.0</v>
      </c>
    </row>
    <row r="15">
      <c r="A15" s="29" t="s">
        <v>15</v>
      </c>
      <c r="B15" s="31">
        <v>46186.0</v>
      </c>
      <c r="C15" s="33">
        <v>307.3</v>
      </c>
      <c r="D15" s="33">
        <v>1655.68</v>
      </c>
      <c r="E15" s="35">
        <f t="shared" si="1"/>
        <v>1962.98</v>
      </c>
      <c r="F15" s="33">
        <v>149.5</v>
      </c>
      <c r="G15" s="33">
        <v>959.12</v>
      </c>
      <c r="H15" s="35">
        <f t="shared" si="2"/>
        <v>1108.62</v>
      </c>
      <c r="I15" s="33">
        <v>220.0</v>
      </c>
      <c r="J15" s="33">
        <v>723.32</v>
      </c>
      <c r="K15" s="35">
        <f t="shared" si="3"/>
        <v>943.32</v>
      </c>
      <c r="L15" s="33">
        <v>262.56</v>
      </c>
      <c r="M15" s="33">
        <v>290.13</v>
      </c>
      <c r="N15" s="35">
        <f t="shared" si="4"/>
        <v>552.69</v>
      </c>
      <c r="O15" s="38">
        <f t="shared" si="5"/>
        <v>4567.61</v>
      </c>
      <c r="P15" s="40" t="s">
        <v>15</v>
      </c>
      <c r="Q15" s="31">
        <v>46186.0</v>
      </c>
      <c r="R15" s="41" t="s">
        <v>16</v>
      </c>
      <c r="S15" s="42" t="s">
        <v>29</v>
      </c>
      <c r="T15" s="42" t="s">
        <v>19</v>
      </c>
      <c r="U15" s="42" t="s">
        <v>18</v>
      </c>
      <c r="V15" s="43">
        <v>11.0</v>
      </c>
    </row>
    <row r="16">
      <c r="A16" s="29" t="s">
        <v>22</v>
      </c>
      <c r="B16" s="31">
        <v>46187.0</v>
      </c>
      <c r="C16" s="33">
        <v>347.06</v>
      </c>
      <c r="D16" s="33">
        <v>743.05</v>
      </c>
      <c r="E16" s="35">
        <f t="shared" si="1"/>
        <v>1090.11</v>
      </c>
      <c r="F16" s="33">
        <v>135.31</v>
      </c>
      <c r="G16" s="33">
        <v>319.35</v>
      </c>
      <c r="H16" s="35">
        <f t="shared" si="2"/>
        <v>454.66</v>
      </c>
      <c r="I16" s="33">
        <v>88.0</v>
      </c>
      <c r="J16" s="33">
        <v>387.38</v>
      </c>
      <c r="K16" s="35">
        <f t="shared" si="3"/>
        <v>475.38</v>
      </c>
      <c r="L16" s="33">
        <v>189.44</v>
      </c>
      <c r="M16" s="33">
        <v>683.08</v>
      </c>
      <c r="N16" s="35">
        <f t="shared" si="4"/>
        <v>872.52</v>
      </c>
      <c r="O16" s="38">
        <f t="shared" si="5"/>
        <v>2892.67</v>
      </c>
      <c r="P16" s="40" t="s">
        <v>22</v>
      </c>
      <c r="Q16" s="31">
        <v>46187.0</v>
      </c>
      <c r="R16" s="41" t="s">
        <v>28</v>
      </c>
      <c r="S16" s="42" t="s">
        <v>29</v>
      </c>
      <c r="T16" s="42" t="s">
        <v>17</v>
      </c>
      <c r="U16" s="42" t="s">
        <v>19</v>
      </c>
      <c r="V16" s="43">
        <v>8.0</v>
      </c>
    </row>
    <row r="17">
      <c r="A17" s="29" t="s">
        <v>13</v>
      </c>
      <c r="B17" s="31">
        <v>46188.0</v>
      </c>
      <c r="C17" s="33">
        <v>121.22</v>
      </c>
      <c r="D17" s="33">
        <v>373.37</v>
      </c>
      <c r="E17" s="35">
        <f t="shared" si="1"/>
        <v>494.59</v>
      </c>
      <c r="F17" s="33">
        <v>146.14</v>
      </c>
      <c r="G17" s="33">
        <v>80.0</v>
      </c>
      <c r="H17" s="35">
        <f t="shared" si="2"/>
        <v>226.14</v>
      </c>
      <c r="I17" s="33">
        <v>156.65</v>
      </c>
      <c r="J17" s="33">
        <v>154.8</v>
      </c>
      <c r="K17" s="35">
        <f t="shared" si="3"/>
        <v>311.45</v>
      </c>
      <c r="L17" s="33">
        <v>107.02</v>
      </c>
      <c r="M17" s="33">
        <v>129.9</v>
      </c>
      <c r="N17" s="35">
        <f t="shared" si="4"/>
        <v>236.92</v>
      </c>
      <c r="O17" s="38">
        <f t="shared" si="5"/>
        <v>1269.1</v>
      </c>
      <c r="P17" s="40" t="s">
        <v>13</v>
      </c>
      <c r="Q17" s="31">
        <v>46188.0</v>
      </c>
      <c r="R17" s="41" t="s">
        <v>16</v>
      </c>
      <c r="S17" s="42" t="s">
        <v>20</v>
      </c>
      <c r="T17" s="44" t="s">
        <v>19</v>
      </c>
      <c r="U17" s="42" t="s">
        <v>18</v>
      </c>
      <c r="V17" s="43">
        <v>10.0</v>
      </c>
    </row>
    <row r="18">
      <c r="A18" s="29" t="s">
        <v>21</v>
      </c>
      <c r="B18" s="31">
        <v>46189.0</v>
      </c>
      <c r="C18" s="33">
        <v>660.11</v>
      </c>
      <c r="D18" s="33">
        <v>704.72</v>
      </c>
      <c r="E18" s="35">
        <f t="shared" si="1"/>
        <v>1364.83</v>
      </c>
      <c r="F18" s="33">
        <v>90.0</v>
      </c>
      <c r="G18" s="33">
        <v>191.38</v>
      </c>
      <c r="H18" s="35">
        <f t="shared" si="2"/>
        <v>281.38</v>
      </c>
      <c r="I18" s="33">
        <v>325.0</v>
      </c>
      <c r="J18" s="33">
        <v>59.54</v>
      </c>
      <c r="K18" s="35">
        <f t="shared" si="3"/>
        <v>384.54</v>
      </c>
      <c r="L18" s="33">
        <v>0.0</v>
      </c>
      <c r="M18" s="33">
        <v>21.65</v>
      </c>
      <c r="N18" s="35">
        <f t="shared" si="4"/>
        <v>21.65</v>
      </c>
      <c r="O18" s="38">
        <f t="shared" si="5"/>
        <v>2052.4</v>
      </c>
      <c r="P18" s="40" t="s">
        <v>21</v>
      </c>
      <c r="Q18" s="31">
        <v>46189.0</v>
      </c>
      <c r="R18" s="41" t="s">
        <v>16</v>
      </c>
      <c r="S18" s="42" t="s">
        <v>20</v>
      </c>
      <c r="T18" s="42" t="s">
        <v>25</v>
      </c>
      <c r="U18" s="55" t="s">
        <v>19</v>
      </c>
      <c r="V18" s="43">
        <v>10.0</v>
      </c>
    </row>
    <row r="19">
      <c r="A19" s="29" t="s">
        <v>24</v>
      </c>
      <c r="B19" s="31">
        <v>46190.0</v>
      </c>
      <c r="C19" s="33">
        <v>484.65</v>
      </c>
      <c r="D19" s="33">
        <v>246.81</v>
      </c>
      <c r="E19" s="35">
        <f t="shared" si="1"/>
        <v>731.46</v>
      </c>
      <c r="F19" s="33">
        <v>0.0</v>
      </c>
      <c r="G19" s="44">
        <v>391.4</v>
      </c>
      <c r="H19" s="35">
        <f t="shared" si="2"/>
        <v>391.4</v>
      </c>
      <c r="I19" s="33">
        <v>72.12</v>
      </c>
      <c r="J19" s="33">
        <v>258.13</v>
      </c>
      <c r="K19" s="35">
        <f t="shared" si="3"/>
        <v>330.25</v>
      </c>
      <c r="L19" s="33">
        <v>0.0</v>
      </c>
      <c r="M19" s="33">
        <v>298.78</v>
      </c>
      <c r="N19" s="35">
        <f t="shared" si="4"/>
        <v>298.78</v>
      </c>
      <c r="O19" s="38">
        <f t="shared" si="5"/>
        <v>1751.89</v>
      </c>
      <c r="P19" s="40" t="s">
        <v>24</v>
      </c>
      <c r="Q19" s="31">
        <v>46190.0</v>
      </c>
      <c r="R19" s="41" t="s">
        <v>16</v>
      </c>
      <c r="S19" s="42" t="s">
        <v>20</v>
      </c>
      <c r="T19" s="42" t="s">
        <v>18</v>
      </c>
      <c r="U19" s="55" t="s">
        <v>19</v>
      </c>
      <c r="V19" s="43">
        <v>10.0</v>
      </c>
    </row>
    <row r="20">
      <c r="A20" s="29" t="s">
        <v>26</v>
      </c>
      <c r="B20" s="31">
        <v>46191.0</v>
      </c>
      <c r="C20" s="33">
        <v>77.71</v>
      </c>
      <c r="D20" s="33">
        <v>968.93</v>
      </c>
      <c r="E20" s="35">
        <f t="shared" si="1"/>
        <v>1046.64</v>
      </c>
      <c r="F20" s="33">
        <v>170.0</v>
      </c>
      <c r="G20" s="33">
        <v>162.38</v>
      </c>
      <c r="H20" s="35">
        <f t="shared" si="2"/>
        <v>332.38</v>
      </c>
      <c r="I20" s="33">
        <v>128.25</v>
      </c>
      <c r="J20" s="33">
        <v>219.51</v>
      </c>
      <c r="K20" s="35">
        <f t="shared" si="3"/>
        <v>347.76</v>
      </c>
      <c r="L20" s="33">
        <v>70.0</v>
      </c>
      <c r="M20" s="33">
        <v>32.48</v>
      </c>
      <c r="N20" s="35">
        <f t="shared" si="4"/>
        <v>102.48</v>
      </c>
      <c r="O20" s="38">
        <f t="shared" si="5"/>
        <v>1829.26</v>
      </c>
      <c r="P20" s="40" t="s">
        <v>26</v>
      </c>
      <c r="Q20" s="31">
        <v>46191.0</v>
      </c>
      <c r="R20" s="41" t="s">
        <v>16</v>
      </c>
      <c r="S20" s="42" t="s">
        <v>20</v>
      </c>
      <c r="T20" s="42" t="s">
        <v>17</v>
      </c>
      <c r="U20" s="42" t="s">
        <v>25</v>
      </c>
      <c r="V20" s="43">
        <v>10.0</v>
      </c>
    </row>
    <row r="21">
      <c r="A21" s="29" t="s">
        <v>14</v>
      </c>
      <c r="B21" s="31">
        <v>46192.0</v>
      </c>
      <c r="C21" s="33">
        <v>368.0</v>
      </c>
      <c r="D21" s="33">
        <v>1305.59</v>
      </c>
      <c r="E21" s="35">
        <f t="shared" si="1"/>
        <v>1673.59</v>
      </c>
      <c r="F21" s="33">
        <v>110.0</v>
      </c>
      <c r="G21" s="33">
        <v>135.07</v>
      </c>
      <c r="H21" s="35">
        <f t="shared" si="2"/>
        <v>245.07</v>
      </c>
      <c r="I21" s="33">
        <v>176.96</v>
      </c>
      <c r="J21" s="33">
        <v>312.84</v>
      </c>
      <c r="K21" s="35">
        <f t="shared" si="3"/>
        <v>489.8</v>
      </c>
      <c r="L21" s="33">
        <v>273.92</v>
      </c>
      <c r="M21" s="33">
        <v>221.92</v>
      </c>
      <c r="N21" s="35">
        <f t="shared" si="4"/>
        <v>495.84</v>
      </c>
      <c r="O21" s="38">
        <f t="shared" si="5"/>
        <v>2904.3</v>
      </c>
      <c r="P21" s="40" t="s">
        <v>14</v>
      </c>
      <c r="Q21" s="31">
        <v>46192.0</v>
      </c>
      <c r="R21" s="41" t="s">
        <v>16</v>
      </c>
      <c r="S21" s="42" t="s">
        <v>20</v>
      </c>
      <c r="T21" s="42" t="s">
        <v>17</v>
      </c>
      <c r="U21" s="42" t="s">
        <v>18</v>
      </c>
      <c r="V21" s="43">
        <v>11.0</v>
      </c>
    </row>
    <row r="22">
      <c r="A22" s="29" t="s">
        <v>15</v>
      </c>
      <c r="B22" s="31">
        <v>46193.0</v>
      </c>
      <c r="C22" s="33">
        <v>887.42</v>
      </c>
      <c r="D22" s="33">
        <v>1725.06</v>
      </c>
      <c r="E22" s="35">
        <f t="shared" si="1"/>
        <v>2612.48</v>
      </c>
      <c r="F22" s="33">
        <v>214.4</v>
      </c>
      <c r="G22" s="33">
        <v>635.05</v>
      </c>
      <c r="H22" s="35">
        <f t="shared" si="2"/>
        <v>849.45</v>
      </c>
      <c r="I22" s="33">
        <v>273.25</v>
      </c>
      <c r="J22" s="33">
        <v>977.54</v>
      </c>
      <c r="K22" s="35">
        <f t="shared" si="3"/>
        <v>1250.79</v>
      </c>
      <c r="L22" s="33">
        <v>180.0</v>
      </c>
      <c r="M22" s="33">
        <v>570.48</v>
      </c>
      <c r="N22" s="35">
        <f t="shared" si="4"/>
        <v>750.48</v>
      </c>
      <c r="O22" s="38">
        <f t="shared" si="5"/>
        <v>5463.2</v>
      </c>
      <c r="P22" s="40" t="s">
        <v>15</v>
      </c>
      <c r="Q22" s="31">
        <v>46193.0</v>
      </c>
      <c r="R22" s="41" t="s">
        <v>28</v>
      </c>
      <c r="S22" s="57" t="s">
        <v>29</v>
      </c>
      <c r="T22" s="57" t="s">
        <v>17</v>
      </c>
      <c r="U22" s="57" t="s">
        <v>18</v>
      </c>
      <c r="V22" s="59">
        <v>11.0</v>
      </c>
    </row>
    <row r="23">
      <c r="A23" s="29" t="s">
        <v>22</v>
      </c>
      <c r="B23" s="31">
        <v>46194.0</v>
      </c>
      <c r="C23" s="33">
        <v>329.0</v>
      </c>
      <c r="D23" s="33">
        <v>738.14</v>
      </c>
      <c r="E23" s="35">
        <f t="shared" si="1"/>
        <v>1067.14</v>
      </c>
      <c r="F23" s="33">
        <v>84.94</v>
      </c>
      <c r="G23" s="33">
        <v>603.56</v>
      </c>
      <c r="H23" s="35">
        <f t="shared" si="2"/>
        <v>688.5</v>
      </c>
      <c r="I23" s="33">
        <v>113.66</v>
      </c>
      <c r="J23" s="33">
        <v>178.61</v>
      </c>
      <c r="K23" s="35">
        <f t="shared" si="3"/>
        <v>292.27</v>
      </c>
      <c r="L23" s="33">
        <v>92.89</v>
      </c>
      <c r="M23" s="33">
        <v>403.36</v>
      </c>
      <c r="N23" s="35">
        <f t="shared" si="4"/>
        <v>496.25</v>
      </c>
      <c r="O23" s="38">
        <f t="shared" si="5"/>
        <v>2544.16</v>
      </c>
      <c r="P23" s="40" t="s">
        <v>22</v>
      </c>
      <c r="Q23" s="31">
        <v>46194.0</v>
      </c>
      <c r="R23" s="41" t="s">
        <v>28</v>
      </c>
      <c r="S23" s="57" t="s">
        <v>29</v>
      </c>
      <c r="T23" s="57" t="s">
        <v>17</v>
      </c>
      <c r="U23" s="57" t="s">
        <v>18</v>
      </c>
      <c r="V23" s="59">
        <v>8.0</v>
      </c>
    </row>
    <row r="24">
      <c r="A24" s="29" t="s">
        <v>13</v>
      </c>
      <c r="B24" s="31">
        <v>46195.0</v>
      </c>
      <c r="C24" s="33">
        <v>99.0</v>
      </c>
      <c r="D24" s="33">
        <v>609.46</v>
      </c>
      <c r="E24" s="35">
        <f t="shared" si="1"/>
        <v>708.46</v>
      </c>
      <c r="F24" s="33">
        <v>51.65</v>
      </c>
      <c r="G24" s="33">
        <v>292.28</v>
      </c>
      <c r="H24" s="35">
        <f t="shared" si="2"/>
        <v>343.93</v>
      </c>
      <c r="I24" s="33">
        <v>43.3</v>
      </c>
      <c r="J24" s="33">
        <v>194.85</v>
      </c>
      <c r="K24" s="35">
        <f t="shared" si="3"/>
        <v>238.15</v>
      </c>
      <c r="L24" s="33">
        <v>97.06</v>
      </c>
      <c r="M24" s="33">
        <v>143.98</v>
      </c>
      <c r="N24" s="35">
        <f t="shared" si="4"/>
        <v>241.04</v>
      </c>
      <c r="O24" s="38">
        <f t="shared" si="5"/>
        <v>1531.58</v>
      </c>
      <c r="P24" s="40" t="s">
        <v>13</v>
      </c>
      <c r="Q24" s="31">
        <v>46195.0</v>
      </c>
      <c r="R24" s="41" t="s">
        <v>16</v>
      </c>
      <c r="S24" s="57" t="s">
        <v>20</v>
      </c>
      <c r="T24" s="57" t="s">
        <v>18</v>
      </c>
      <c r="U24" s="57" t="s">
        <v>17</v>
      </c>
      <c r="V24" s="59">
        <v>10.0</v>
      </c>
    </row>
    <row r="25">
      <c r="A25" s="29" t="s">
        <v>21</v>
      </c>
      <c r="B25" s="31">
        <v>46196.0</v>
      </c>
      <c r="C25" s="33">
        <v>541.84</v>
      </c>
      <c r="D25" s="33">
        <v>433.37</v>
      </c>
      <c r="E25" s="35">
        <f t="shared" si="1"/>
        <v>975.21</v>
      </c>
      <c r="F25" s="33">
        <v>100.85</v>
      </c>
      <c r="G25" s="33">
        <v>199.19</v>
      </c>
      <c r="H25" s="35">
        <f t="shared" si="2"/>
        <v>300.04</v>
      </c>
      <c r="I25" s="33">
        <v>110.0</v>
      </c>
      <c r="J25" s="33">
        <v>137.77</v>
      </c>
      <c r="K25" s="35">
        <f t="shared" si="3"/>
        <v>247.77</v>
      </c>
      <c r="L25" s="33">
        <v>0.0</v>
      </c>
      <c r="M25" s="33">
        <v>211.09</v>
      </c>
      <c r="N25" s="35">
        <f t="shared" si="4"/>
        <v>211.09</v>
      </c>
      <c r="O25" s="38">
        <f t="shared" si="5"/>
        <v>1734.11</v>
      </c>
      <c r="P25" s="40" t="s">
        <v>21</v>
      </c>
      <c r="Q25" s="31">
        <v>46196.0</v>
      </c>
      <c r="R25" s="41" t="s">
        <v>16</v>
      </c>
      <c r="S25" s="57" t="s">
        <v>20</v>
      </c>
      <c r="T25" s="57" t="s">
        <v>25</v>
      </c>
      <c r="U25" s="57" t="s">
        <v>18</v>
      </c>
      <c r="V25" s="59">
        <v>10.0</v>
      </c>
    </row>
    <row r="26">
      <c r="A26" s="29" t="s">
        <v>24</v>
      </c>
      <c r="B26" s="31">
        <v>46197.0</v>
      </c>
      <c r="C26" s="33">
        <v>305.06</v>
      </c>
      <c r="D26" s="33">
        <v>247.9</v>
      </c>
      <c r="E26" s="35">
        <f t="shared" si="1"/>
        <v>552.96</v>
      </c>
      <c r="F26" s="33">
        <v>31.0</v>
      </c>
      <c r="G26" s="33">
        <v>31.62</v>
      </c>
      <c r="H26" s="35">
        <f t="shared" si="2"/>
        <v>62.62</v>
      </c>
      <c r="I26" s="33">
        <v>45.0</v>
      </c>
      <c r="J26" s="33">
        <v>163.46</v>
      </c>
      <c r="K26" s="35">
        <f t="shared" si="3"/>
        <v>208.46</v>
      </c>
      <c r="L26" s="33">
        <v>0.0</v>
      </c>
      <c r="M26" s="33">
        <v>322.33</v>
      </c>
      <c r="N26" s="35">
        <f t="shared" si="4"/>
        <v>322.33</v>
      </c>
      <c r="O26" s="38">
        <f t="shared" si="5"/>
        <v>1146.37</v>
      </c>
      <c r="P26" s="40" t="s">
        <v>24</v>
      </c>
      <c r="Q26" s="31">
        <v>46197.0</v>
      </c>
      <c r="R26" s="41" t="s">
        <v>16</v>
      </c>
      <c r="S26" s="57" t="s">
        <v>20</v>
      </c>
      <c r="T26" s="57" t="s">
        <v>19</v>
      </c>
      <c r="U26" s="57" t="s">
        <v>18</v>
      </c>
      <c r="V26" s="59">
        <v>10.0</v>
      </c>
    </row>
    <row r="27">
      <c r="A27" s="29" t="s">
        <v>26</v>
      </c>
      <c r="B27" s="31">
        <v>46198.0</v>
      </c>
      <c r="C27" s="33">
        <v>247.46</v>
      </c>
      <c r="D27" s="33">
        <v>134.23</v>
      </c>
      <c r="E27" s="35">
        <f t="shared" si="1"/>
        <v>381.69</v>
      </c>
      <c r="F27" s="33">
        <v>20.0</v>
      </c>
      <c r="G27" s="33">
        <v>204.59</v>
      </c>
      <c r="H27" s="35">
        <f t="shared" si="2"/>
        <v>224.59</v>
      </c>
      <c r="I27" s="33">
        <v>75.0</v>
      </c>
      <c r="J27" s="33">
        <v>329.19</v>
      </c>
      <c r="K27" s="35">
        <f t="shared" si="3"/>
        <v>404.19</v>
      </c>
      <c r="L27" s="33">
        <v>140.0</v>
      </c>
      <c r="M27" s="33">
        <v>119.08</v>
      </c>
      <c r="N27" s="35">
        <f t="shared" si="4"/>
        <v>259.08</v>
      </c>
      <c r="O27" s="38">
        <f t="shared" si="5"/>
        <v>1269.55</v>
      </c>
      <c r="P27" s="40" t="s">
        <v>26</v>
      </c>
      <c r="Q27" s="31">
        <v>46198.0</v>
      </c>
      <c r="R27" s="41" t="s">
        <v>16</v>
      </c>
      <c r="S27" s="57" t="s">
        <v>20</v>
      </c>
      <c r="T27" s="57" t="s">
        <v>19</v>
      </c>
      <c r="U27" s="57" t="s">
        <v>25</v>
      </c>
      <c r="V27" s="59">
        <v>10.0</v>
      </c>
    </row>
    <row r="28">
      <c r="A28" s="29" t="s">
        <v>14</v>
      </c>
      <c r="B28" s="31">
        <v>46199.0</v>
      </c>
      <c r="C28" s="33">
        <v>397.61</v>
      </c>
      <c r="D28" s="33">
        <v>693.71</v>
      </c>
      <c r="E28" s="35">
        <f t="shared" si="1"/>
        <v>1091.32</v>
      </c>
      <c r="F28" s="33">
        <v>133.71</v>
      </c>
      <c r="G28" s="33">
        <v>425.18</v>
      </c>
      <c r="H28" s="35">
        <f t="shared" si="2"/>
        <v>558.89</v>
      </c>
      <c r="I28" s="33">
        <v>345.36</v>
      </c>
      <c r="J28" s="33">
        <v>151.55</v>
      </c>
      <c r="K28" s="35">
        <f t="shared" si="3"/>
        <v>496.91</v>
      </c>
      <c r="L28" s="33">
        <v>74.69</v>
      </c>
      <c r="M28" s="33">
        <v>303.1</v>
      </c>
      <c r="N28" s="35">
        <f t="shared" si="4"/>
        <v>377.79</v>
      </c>
      <c r="O28" s="38">
        <f t="shared" si="5"/>
        <v>2524.91</v>
      </c>
      <c r="P28" s="40" t="s">
        <v>14</v>
      </c>
      <c r="Q28" s="31">
        <v>46199.0</v>
      </c>
      <c r="R28" s="41" t="s">
        <v>16</v>
      </c>
      <c r="S28" s="57" t="s">
        <v>20</v>
      </c>
      <c r="T28" s="57" t="s">
        <v>19</v>
      </c>
      <c r="U28" s="57" t="s">
        <v>17</v>
      </c>
      <c r="V28" s="59">
        <v>11.0</v>
      </c>
    </row>
    <row r="29">
      <c r="A29" s="29" t="s">
        <v>15</v>
      </c>
      <c r="B29" s="31">
        <v>46200.0</v>
      </c>
      <c r="C29" s="33">
        <v>767.13</v>
      </c>
      <c r="D29" s="33">
        <v>323.41</v>
      </c>
      <c r="E29" s="35">
        <f t="shared" si="1"/>
        <v>1090.54</v>
      </c>
      <c r="F29" s="33">
        <v>191.91</v>
      </c>
      <c r="G29" s="33">
        <v>477.77</v>
      </c>
      <c r="H29" s="35">
        <f t="shared" si="2"/>
        <v>669.68</v>
      </c>
      <c r="I29" s="33">
        <v>135.0</v>
      </c>
      <c r="J29" s="33">
        <v>764.83</v>
      </c>
      <c r="K29" s="35">
        <f t="shared" si="3"/>
        <v>899.83</v>
      </c>
      <c r="L29" s="33">
        <v>45.0</v>
      </c>
      <c r="M29" s="33">
        <v>450.65</v>
      </c>
      <c r="N29" s="35">
        <f t="shared" si="4"/>
        <v>495.65</v>
      </c>
      <c r="O29" s="38">
        <f t="shared" si="5"/>
        <v>3155.7</v>
      </c>
      <c r="P29" s="40" t="s">
        <v>15</v>
      </c>
      <c r="Q29" s="31">
        <v>46200.0</v>
      </c>
      <c r="R29" s="41" t="s">
        <v>28</v>
      </c>
      <c r="S29" s="57" t="s">
        <v>29</v>
      </c>
      <c r="T29" s="57" t="s">
        <v>19</v>
      </c>
      <c r="U29" s="57" t="s">
        <v>18</v>
      </c>
      <c r="V29" s="59">
        <v>11.0</v>
      </c>
    </row>
    <row r="30">
      <c r="A30" s="29" t="s">
        <v>22</v>
      </c>
      <c r="B30" s="31">
        <v>46201.0</v>
      </c>
      <c r="C30" s="33">
        <v>334.59</v>
      </c>
      <c r="D30" s="33">
        <v>1183.45</v>
      </c>
      <c r="E30" s="35">
        <f t="shared" si="1"/>
        <v>1518.04</v>
      </c>
      <c r="F30" s="33">
        <v>185.0</v>
      </c>
      <c r="G30" s="33">
        <v>250.0</v>
      </c>
      <c r="H30" s="35">
        <f t="shared" si="2"/>
        <v>435</v>
      </c>
      <c r="I30" s="33">
        <v>47.01</v>
      </c>
      <c r="J30" s="33">
        <v>285.0</v>
      </c>
      <c r="K30" s="35">
        <f t="shared" si="3"/>
        <v>332.01</v>
      </c>
      <c r="L30" s="33">
        <v>105.0</v>
      </c>
      <c r="M30" s="33">
        <v>167.8</v>
      </c>
      <c r="N30" s="35">
        <f t="shared" si="4"/>
        <v>272.8</v>
      </c>
      <c r="O30" s="38">
        <f t="shared" si="5"/>
        <v>2557.85</v>
      </c>
      <c r="P30" s="40" t="s">
        <v>22</v>
      </c>
      <c r="Q30" s="31">
        <v>46201.0</v>
      </c>
      <c r="R30" s="41" t="s">
        <v>16</v>
      </c>
      <c r="S30" s="57" t="s">
        <v>59</v>
      </c>
      <c r="T30" s="57" t="s">
        <v>18</v>
      </c>
      <c r="U30" s="57" t="s">
        <v>38</v>
      </c>
      <c r="V30" s="59">
        <v>8.0</v>
      </c>
    </row>
    <row r="31">
      <c r="A31" s="29" t="s">
        <v>13</v>
      </c>
      <c r="B31" s="31">
        <v>46202.0</v>
      </c>
      <c r="C31" s="33">
        <v>471.06</v>
      </c>
      <c r="D31" s="60">
        <v>335.57</v>
      </c>
      <c r="E31" s="35">
        <f t="shared" si="1"/>
        <v>806.63</v>
      </c>
      <c r="F31" s="60">
        <v>315.0</v>
      </c>
      <c r="G31" s="60">
        <v>21.65</v>
      </c>
      <c r="H31" s="35">
        <f t="shared" si="2"/>
        <v>336.65</v>
      </c>
      <c r="I31" s="60">
        <v>15.0</v>
      </c>
      <c r="J31" s="60">
        <v>280.0</v>
      </c>
      <c r="K31" s="35">
        <f t="shared" si="3"/>
        <v>295</v>
      </c>
      <c r="L31" s="33">
        <v>40.0</v>
      </c>
      <c r="M31" s="60">
        <v>107.01</v>
      </c>
      <c r="N31" s="35">
        <f t="shared" si="4"/>
        <v>147.01</v>
      </c>
      <c r="O31" s="38">
        <f t="shared" si="5"/>
        <v>1585.29</v>
      </c>
      <c r="P31" s="40" t="s">
        <v>13</v>
      </c>
      <c r="Q31" s="31">
        <v>46202.0</v>
      </c>
      <c r="R31" s="41" t="s">
        <v>16</v>
      </c>
      <c r="S31" s="57" t="s">
        <v>20</v>
      </c>
      <c r="T31" s="57" t="s">
        <v>25</v>
      </c>
      <c r="U31" s="57" t="s">
        <v>19</v>
      </c>
      <c r="V31" s="59">
        <v>10.0</v>
      </c>
    </row>
    <row r="32">
      <c r="A32" s="29" t="s">
        <v>21</v>
      </c>
      <c r="B32" s="31">
        <v>46203.0</v>
      </c>
      <c r="C32" s="33">
        <v>181.17</v>
      </c>
      <c r="D32" s="60">
        <v>198.48</v>
      </c>
      <c r="E32" s="35">
        <f t="shared" si="1"/>
        <v>379.65</v>
      </c>
      <c r="F32" s="60">
        <v>50.0</v>
      </c>
      <c r="G32" s="60">
        <v>70.37</v>
      </c>
      <c r="H32" s="35">
        <f t="shared" si="2"/>
        <v>120.37</v>
      </c>
      <c r="I32" s="60">
        <v>251.19</v>
      </c>
      <c r="J32" s="60">
        <v>113.66</v>
      </c>
      <c r="K32" s="35">
        <f t="shared" si="3"/>
        <v>364.85</v>
      </c>
      <c r="L32" s="60">
        <v>168.37</v>
      </c>
      <c r="M32" s="60"/>
      <c r="N32" s="35">
        <f t="shared" si="4"/>
        <v>168.37</v>
      </c>
      <c r="O32" s="38">
        <f t="shared" si="5"/>
        <v>1033.24</v>
      </c>
      <c r="P32" s="40" t="s">
        <v>21</v>
      </c>
      <c r="Q32" s="31">
        <v>46203.0</v>
      </c>
      <c r="R32" s="41" t="s">
        <v>16</v>
      </c>
      <c r="S32" s="57" t="s">
        <v>20</v>
      </c>
      <c r="T32" s="57" t="s">
        <v>25</v>
      </c>
      <c r="U32" s="57" t="s">
        <v>19</v>
      </c>
      <c r="V32" s="59">
        <v>10.0</v>
      </c>
    </row>
    <row r="33">
      <c r="A33" s="7"/>
      <c r="B33" s="63"/>
      <c r="C33" s="61">
        <f t="shared" ref="C33:D33" si="6">SUM(C3:C32)</f>
        <v>7919.84</v>
      </c>
      <c r="D33" s="61">
        <f t="shared" si="6"/>
        <v>16056.78</v>
      </c>
      <c r="E33" s="62"/>
      <c r="F33" s="61">
        <f t="shared" ref="F33:G33" si="7">SUM(F3:F32)</f>
        <v>3378.71</v>
      </c>
      <c r="G33" s="61">
        <f t="shared" si="7"/>
        <v>9306.01</v>
      </c>
      <c r="H33" s="62"/>
      <c r="I33" s="61">
        <f t="shared" ref="I33:J33" si="8">SUM(I3:I32)</f>
        <v>3849.49</v>
      </c>
      <c r="J33" s="61">
        <f t="shared" si="8"/>
        <v>8615.69</v>
      </c>
      <c r="K33" s="62"/>
      <c r="L33" s="61">
        <f t="shared" ref="L33:M33" si="9">SUM(L3:L32)</f>
        <v>3180.61</v>
      </c>
      <c r="M33" s="61">
        <f t="shared" si="9"/>
        <v>6730.5</v>
      </c>
      <c r="N33" s="7"/>
      <c r="O33" s="68"/>
      <c r="P33" s="69"/>
      <c r="Q33" s="69"/>
      <c r="R33" s="70"/>
      <c r="S33" s="70"/>
      <c r="T33" s="70"/>
      <c r="U33" s="70"/>
      <c r="V33" s="71"/>
    </row>
    <row r="34">
      <c r="A34" s="7"/>
      <c r="B34" s="7"/>
      <c r="C34" s="7"/>
      <c r="D34" s="64" t="s">
        <v>61</v>
      </c>
      <c r="E34" s="75">
        <f>SUM(E3:E32)</f>
        <v>23976.62</v>
      </c>
      <c r="F34" s="7"/>
      <c r="G34" s="64" t="s">
        <v>3</v>
      </c>
      <c r="H34" s="77">
        <f>SUM(H3:H32)</f>
        <v>12684.72</v>
      </c>
      <c r="I34" s="7"/>
      <c r="J34" s="64" t="s">
        <v>4</v>
      </c>
      <c r="K34" s="77">
        <f>SUM(K3:K32)</f>
        <v>12465.18</v>
      </c>
      <c r="L34" s="7"/>
      <c r="M34" s="64" t="s">
        <v>5</v>
      </c>
      <c r="N34" s="77">
        <f t="shared" ref="N34:O34" si="10">SUM(N3:N32)</f>
        <v>9911.11</v>
      </c>
      <c r="O34" s="82">
        <f t="shared" si="10"/>
        <v>59037.63</v>
      </c>
      <c r="P34" s="69"/>
      <c r="Q34" s="69"/>
      <c r="R34" s="70"/>
      <c r="S34" s="70"/>
      <c r="T34" s="70"/>
      <c r="U34" s="70"/>
      <c r="V34" s="70"/>
    </row>
    <row r="35">
      <c r="A35" s="83"/>
      <c r="B35" s="83"/>
      <c r="C35" s="83"/>
      <c r="D35" s="83"/>
      <c r="P35" s="84"/>
      <c r="Q35" s="84"/>
      <c r="R35" s="86">
        <f>IFERROR(__xludf.DUMMYFUNCTION("SUM(ARRAYFORMULA(IFERROR(VALUE(REGEXREPLACE(R3:R32,""[^\d]"","""")),0)))"),0.0)</f>
        <v>0</v>
      </c>
      <c r="S35" s="86">
        <f>IFERROR(__xludf.DUMMYFUNCTION("SUM(ARRAYFORMULA(IFERROR(VALUE(REGEXREPLACE(S3:S32,""[^\d]"","""")),0)))"),0.0)</f>
        <v>0</v>
      </c>
      <c r="T35" s="86">
        <f>IFERROR(__xludf.DUMMYFUNCTION("SUM(ARRAYFORMULA(IFERROR(VALUE(REGEXREPLACE(T3:T32,""[^\d]"","""")),0)))"),0.0)</f>
        <v>0</v>
      </c>
      <c r="U35" s="86">
        <f>IFERROR(__xludf.DUMMYFUNCTION("SUM(ARRAYFORMULA(IFERROR(VALUE(REGEXREPLACE(U3:U32,""[^\d]"","""")),0)))"),0.0)</f>
        <v>0</v>
      </c>
      <c r="V35" s="86">
        <f>SUM(V3:V32)</f>
        <v>300</v>
      </c>
    </row>
    <row r="36">
      <c r="A36" s="88"/>
      <c r="B36" s="89"/>
      <c r="C36" s="90" t="s">
        <v>71</v>
      </c>
      <c r="D36" s="90">
        <v>816.61</v>
      </c>
    </row>
    <row r="37">
      <c r="A37" s="88"/>
      <c r="B37" s="89"/>
      <c r="C37" s="90" t="s">
        <v>72</v>
      </c>
      <c r="D37" s="91">
        <f>B38</f>
        <v>18328.65</v>
      </c>
    </row>
    <row r="38">
      <c r="A38" s="92" t="s">
        <v>63</v>
      </c>
      <c r="B38" s="94">
        <f>C33+F33+I33+L33</f>
        <v>18328.65</v>
      </c>
      <c r="C38" s="90" t="s">
        <v>73</v>
      </c>
      <c r="D38" s="83">
        <f>sum(F46:F54)</f>
        <v>16649</v>
      </c>
    </row>
    <row r="39">
      <c r="A39" s="88" t="s">
        <v>64</v>
      </c>
      <c r="B39" s="89">
        <f>D33+G33+J33+M33</f>
        <v>40708.98</v>
      </c>
      <c r="C39" s="96" t="s">
        <v>75</v>
      </c>
      <c r="D39" s="99">
        <f>B38+D36-D38</f>
        <v>2496.26</v>
      </c>
      <c r="E39" s="7"/>
      <c r="F39" s="7"/>
      <c r="G39" s="7"/>
      <c r="H39" s="7"/>
      <c r="I39" s="7"/>
    </row>
    <row r="40">
      <c r="A40" s="100"/>
      <c r="B40" s="102"/>
      <c r="C40" s="83"/>
      <c r="D40" s="83"/>
      <c r="E40" s="7"/>
      <c r="F40" s="7"/>
      <c r="G40" s="7"/>
      <c r="H40" s="7"/>
      <c r="I40" s="7"/>
    </row>
    <row r="41">
      <c r="A41" s="103" t="s">
        <v>65</v>
      </c>
      <c r="B41" s="89">
        <f>sum(B38:B39)</f>
        <v>59037.63</v>
      </c>
      <c r="C41" s="83"/>
      <c r="D41" s="83"/>
      <c r="E41" s="7"/>
      <c r="F41" s="7"/>
      <c r="G41" s="7"/>
      <c r="H41" s="7"/>
      <c r="I41" s="7"/>
    </row>
    <row r="42">
      <c r="A42" s="80"/>
      <c r="B42" s="80"/>
      <c r="E42" s="7"/>
      <c r="F42" s="7"/>
      <c r="G42" s="7"/>
      <c r="H42" s="7"/>
      <c r="I42" s="7"/>
    </row>
    <row r="43">
      <c r="A43" s="105" t="s">
        <v>76</v>
      </c>
      <c r="J43" s="106" t="s">
        <v>77</v>
      </c>
    </row>
    <row r="45">
      <c r="A45" s="107" t="s">
        <v>78</v>
      </c>
      <c r="B45" s="107" t="s">
        <v>79</v>
      </c>
      <c r="C45" s="107" t="s">
        <v>12</v>
      </c>
      <c r="D45" s="107" t="s">
        <v>80</v>
      </c>
      <c r="E45" s="107" t="s">
        <v>81</v>
      </c>
      <c r="F45" s="108" t="s">
        <v>82</v>
      </c>
      <c r="G45" s="108" t="s">
        <v>84</v>
      </c>
      <c r="I45" s="55" t="s">
        <v>1</v>
      </c>
      <c r="J45" s="55" t="s">
        <v>85</v>
      </c>
      <c r="K45" s="55" t="s">
        <v>1</v>
      </c>
      <c r="L45" s="55" t="s">
        <v>86</v>
      </c>
      <c r="M45" s="55" t="s">
        <v>1</v>
      </c>
      <c r="N45" s="55" t="s">
        <v>87</v>
      </c>
      <c r="O45" s="55" t="s">
        <v>1</v>
      </c>
      <c r="P45" s="55" t="s">
        <v>88</v>
      </c>
      <c r="Q45" s="55" t="s">
        <v>1</v>
      </c>
      <c r="R45" s="55" t="s">
        <v>89</v>
      </c>
    </row>
    <row r="46">
      <c r="A46" s="109">
        <v>900.0</v>
      </c>
      <c r="B46" s="110" t="s">
        <v>18</v>
      </c>
      <c r="C46" s="112">
        <f>sumproduct((R3:U32="Siri")*V3:V32)</f>
        <v>200</v>
      </c>
      <c r="D46" s="110">
        <f>C46*10</f>
        <v>2000</v>
      </c>
      <c r="E46" s="110">
        <f t="shared" ref="E46:E50" si="11">sum(D46+A46)</f>
        <v>2900</v>
      </c>
      <c r="F46" s="110">
        <f>900+1110+890</f>
        <v>2900</v>
      </c>
      <c r="G46" s="112">
        <f t="shared" ref="G46:G51" si="12">F46-E46</f>
        <v>0</v>
      </c>
      <c r="H46" s="115" t="s">
        <v>90</v>
      </c>
      <c r="I46" s="55" t="s">
        <v>91</v>
      </c>
      <c r="J46" s="117">
        <v>850.48</v>
      </c>
      <c r="K46" s="119">
        <v>46175.0</v>
      </c>
      <c r="L46" s="55">
        <v>110.57</v>
      </c>
      <c r="M46" s="120"/>
      <c r="N46" s="120"/>
      <c r="O46" s="121">
        <v>46189.0</v>
      </c>
      <c r="P46" s="55">
        <v>570.0</v>
      </c>
      <c r="Q46" s="120"/>
      <c r="R46" s="120"/>
    </row>
    <row r="47">
      <c r="A47" s="123">
        <v>3654.0</v>
      </c>
      <c r="B47" s="110" t="s">
        <v>29</v>
      </c>
      <c r="C47" s="112">
        <f>sumproduct((R3:U32="Sam")*V3:V32)</f>
        <v>79</v>
      </c>
      <c r="D47" s="110">
        <f>C47*14</f>
        <v>1106</v>
      </c>
      <c r="E47" s="110">
        <f t="shared" si="11"/>
        <v>4760</v>
      </c>
      <c r="F47" s="110">
        <f>1000+1000+1654+686+420</f>
        <v>4760</v>
      </c>
      <c r="G47" s="112">
        <f t="shared" si="12"/>
        <v>0</v>
      </c>
      <c r="I47" s="55" t="s">
        <v>97</v>
      </c>
      <c r="J47" s="128">
        <v>1040.0</v>
      </c>
      <c r="K47" s="119">
        <v>46181.0</v>
      </c>
      <c r="L47" s="55">
        <v>356.64</v>
      </c>
      <c r="M47" s="120"/>
      <c r="N47" s="120"/>
      <c r="O47" s="120"/>
      <c r="P47" s="120"/>
      <c r="Q47" s="120"/>
      <c r="R47" s="120"/>
    </row>
    <row r="48">
      <c r="A48" s="131">
        <v>1530.0</v>
      </c>
      <c r="B48" s="110" t="s">
        <v>19</v>
      </c>
      <c r="C48" s="112">
        <f>sumproduct((R3:U32="Dan")*V3:V32)</f>
        <v>203</v>
      </c>
      <c r="D48" s="112">
        <f>C48*11</f>
        <v>2233</v>
      </c>
      <c r="E48" s="110">
        <f t="shared" si="11"/>
        <v>3763</v>
      </c>
      <c r="F48" s="110">
        <f>1530+1331+902</f>
        <v>3763</v>
      </c>
      <c r="G48" s="112">
        <f t="shared" si="12"/>
        <v>0</v>
      </c>
      <c r="I48" s="119">
        <v>46192.0</v>
      </c>
      <c r="J48" s="55">
        <v>915.97</v>
      </c>
      <c r="K48" s="119">
        <v>46184.0</v>
      </c>
      <c r="L48" s="55">
        <v>111.55</v>
      </c>
      <c r="M48" s="120"/>
      <c r="N48" s="120"/>
      <c r="O48" s="120"/>
      <c r="P48" s="120"/>
      <c r="Q48" s="120"/>
      <c r="R48" s="120"/>
    </row>
    <row r="49">
      <c r="A49" s="110"/>
      <c r="B49" s="110" t="s">
        <v>25</v>
      </c>
      <c r="C49" s="112">
        <f>sumproduct((R3:U32="Sumanth")*V3:V32)</f>
        <v>108</v>
      </c>
      <c r="D49" s="112">
        <f>C49*10</f>
        <v>1080</v>
      </c>
      <c r="E49" s="110">
        <f t="shared" si="11"/>
        <v>1080</v>
      </c>
      <c r="F49" s="110">
        <f>400+680</f>
        <v>1080</v>
      </c>
      <c r="G49" s="112">
        <f t="shared" si="12"/>
        <v>0</v>
      </c>
      <c r="I49" s="119">
        <v>46198.0</v>
      </c>
      <c r="J49" s="55">
        <v>1052.17</v>
      </c>
      <c r="K49" s="120"/>
      <c r="L49" s="120"/>
      <c r="M49" s="120"/>
      <c r="N49" s="120"/>
      <c r="O49" s="120"/>
      <c r="P49" s="120"/>
      <c r="Q49" s="120"/>
      <c r="R49" s="120"/>
    </row>
    <row r="50">
      <c r="A50" s="123">
        <v>986.0</v>
      </c>
      <c r="B50" s="110" t="s">
        <v>17</v>
      </c>
      <c r="C50" s="112">
        <f>sumproduct((R3:U32="Nirjala")*V3:V32)</f>
        <v>120</v>
      </c>
      <c r="D50" s="112">
        <f>C50*13</f>
        <v>1560</v>
      </c>
      <c r="E50" s="110">
        <f t="shared" si="11"/>
        <v>2546</v>
      </c>
      <c r="F50" s="110">
        <f>986+200+100+467+793</f>
        <v>2546</v>
      </c>
      <c r="G50" s="112">
        <f t="shared" si="12"/>
        <v>0</v>
      </c>
      <c r="I50" s="120"/>
      <c r="J50" s="120"/>
      <c r="K50" s="120"/>
      <c r="L50" s="120"/>
      <c r="M50" s="120"/>
      <c r="N50" s="120"/>
      <c r="O50" s="120"/>
      <c r="P50" s="120"/>
      <c r="Q50" s="120"/>
      <c r="R50" s="120"/>
    </row>
    <row r="51">
      <c r="A51" s="112"/>
      <c r="B51" s="110" t="s">
        <v>16</v>
      </c>
      <c r="C51" s="112"/>
      <c r="D51" s="110"/>
      <c r="E51" s="110"/>
      <c r="F51" s="110"/>
      <c r="G51" s="112">
        <f t="shared" si="12"/>
        <v>0</v>
      </c>
      <c r="I51" s="120"/>
      <c r="J51" s="120"/>
      <c r="K51" s="120"/>
      <c r="L51" s="120"/>
      <c r="M51" s="120"/>
      <c r="N51" s="120"/>
      <c r="O51" s="120"/>
      <c r="P51" s="120"/>
      <c r="Q51" s="120"/>
      <c r="R51" s="120"/>
    </row>
    <row r="52">
      <c r="A52" s="110"/>
      <c r="B52" s="138" t="s">
        <v>20</v>
      </c>
      <c r="C52" s="112"/>
      <c r="D52" s="110">
        <v>1600.0</v>
      </c>
      <c r="E52" s="110">
        <f>D52+A52</f>
        <v>1600</v>
      </c>
      <c r="F52" s="110">
        <v>1600.0</v>
      </c>
      <c r="G52" s="112"/>
      <c r="I52" s="120"/>
      <c r="J52" s="120"/>
      <c r="K52" s="120"/>
      <c r="L52" s="120"/>
      <c r="M52" s="120"/>
      <c r="N52" s="120"/>
      <c r="O52" s="120"/>
      <c r="P52" s="120"/>
      <c r="Q52" s="120"/>
      <c r="R52" s="120"/>
    </row>
    <row r="53">
      <c r="A53" s="110"/>
      <c r="B53" s="138"/>
      <c r="C53" s="110"/>
      <c r="D53" s="110"/>
      <c r="E53" s="110"/>
      <c r="F53" s="110"/>
      <c r="G53" s="112"/>
      <c r="I53" s="120"/>
      <c r="J53" s="120"/>
      <c r="K53" s="120"/>
      <c r="L53" s="120"/>
      <c r="M53" s="120"/>
      <c r="N53" s="120"/>
      <c r="O53" s="120"/>
      <c r="P53" s="120"/>
      <c r="Q53" s="120"/>
      <c r="R53" s="120"/>
    </row>
    <row r="54">
      <c r="A54" s="110" t="s">
        <v>112</v>
      </c>
      <c r="B54" s="138"/>
      <c r="C54" s="110" t="s">
        <v>113</v>
      </c>
      <c r="D54" s="110"/>
      <c r="E54" s="110"/>
      <c r="F54" s="110"/>
      <c r="G54" s="112">
        <f>F54-E54</f>
        <v>0</v>
      </c>
      <c r="I54" s="120"/>
      <c r="J54" s="120"/>
      <c r="K54" s="120"/>
      <c r="L54" s="120"/>
      <c r="M54" s="120"/>
      <c r="N54" s="120"/>
      <c r="O54" s="120"/>
      <c r="P54" s="120"/>
      <c r="Q54" s="120"/>
      <c r="R54" s="120"/>
    </row>
    <row r="55">
      <c r="A55" s="110" t="s">
        <v>114</v>
      </c>
      <c r="B55" s="110" t="s">
        <v>115</v>
      </c>
      <c r="C55" s="110" t="s">
        <v>116</v>
      </c>
      <c r="D55" s="110"/>
      <c r="E55" s="112"/>
      <c r="F55" s="110"/>
      <c r="G55" s="142"/>
      <c r="I55" s="120"/>
      <c r="J55" s="120"/>
      <c r="K55" s="120"/>
      <c r="L55" s="120"/>
      <c r="M55" s="120"/>
      <c r="N55" s="120"/>
      <c r="O55" s="120"/>
      <c r="P55" s="120"/>
      <c r="Q55" s="120"/>
      <c r="R55" s="120"/>
    </row>
    <row r="56">
      <c r="A56" s="144"/>
      <c r="B56" s="145" t="s">
        <v>120</v>
      </c>
      <c r="C56" s="145" t="s">
        <v>121</v>
      </c>
      <c r="D56" s="145"/>
      <c r="E56" s="144"/>
      <c r="F56" s="145"/>
      <c r="G56" s="146"/>
      <c r="I56" s="120"/>
      <c r="J56" s="120"/>
      <c r="K56" s="120"/>
      <c r="L56" s="120"/>
      <c r="M56" s="120"/>
      <c r="N56" s="120"/>
      <c r="O56" s="120"/>
      <c r="P56" s="120"/>
      <c r="Q56" s="120"/>
      <c r="R56" s="120"/>
    </row>
    <row r="57">
      <c r="A57" s="144"/>
      <c r="B57" s="145" t="s">
        <v>123</v>
      </c>
      <c r="C57" s="144"/>
      <c r="D57" s="144"/>
      <c r="E57" s="144"/>
      <c r="F57" s="145"/>
      <c r="G57" s="146"/>
      <c r="I57" s="120"/>
      <c r="J57" s="120"/>
      <c r="K57" s="120"/>
      <c r="L57" s="120"/>
      <c r="M57" s="120"/>
      <c r="N57" s="120"/>
      <c r="O57" s="120"/>
      <c r="P57" s="120"/>
      <c r="Q57" s="120"/>
      <c r="R57" s="120"/>
    </row>
    <row r="58">
      <c r="A58" s="120"/>
      <c r="B58" s="55" t="s">
        <v>124</v>
      </c>
      <c r="C58" s="55" t="s">
        <v>113</v>
      </c>
      <c r="D58" s="55"/>
      <c r="E58" s="120"/>
      <c r="F58" s="55"/>
      <c r="G58" s="147"/>
      <c r="I58" s="120"/>
      <c r="J58" s="120"/>
      <c r="K58" s="120"/>
      <c r="L58" s="120"/>
      <c r="M58" s="120"/>
      <c r="N58" s="120"/>
      <c r="O58" s="120"/>
      <c r="P58" s="120"/>
      <c r="Q58" s="120"/>
      <c r="R58" s="120"/>
    </row>
    <row r="59">
      <c r="A59" s="120"/>
      <c r="B59" s="120"/>
      <c r="C59" s="120">
        <f t="shared" ref="C59:D59" si="13">sum(C46:C58)</f>
        <v>710</v>
      </c>
      <c r="D59" s="120">
        <f t="shared" si="13"/>
        <v>9579</v>
      </c>
      <c r="E59" s="120">
        <f t="shared" ref="E59:G59" si="14">sum(E46:E57)</f>
        <v>16649</v>
      </c>
      <c r="F59" s="55">
        <f t="shared" si="14"/>
        <v>16649</v>
      </c>
      <c r="G59" s="147">
        <f t="shared" si="14"/>
        <v>0</v>
      </c>
      <c r="I59" s="120"/>
      <c r="J59" s="120"/>
      <c r="K59" s="120"/>
      <c r="L59" s="120"/>
      <c r="M59" s="120"/>
      <c r="N59" s="120"/>
      <c r="O59" s="120"/>
      <c r="P59" s="120"/>
      <c r="Q59" s="120"/>
      <c r="R59" s="120"/>
    </row>
    <row r="60">
      <c r="A60" s="154" t="s">
        <v>10</v>
      </c>
      <c r="B60" s="154">
        <f>sum(F46:G57)</f>
        <v>16649</v>
      </c>
      <c r="C60" s="69"/>
      <c r="F60" s="44"/>
      <c r="G60" s="68"/>
    </row>
    <row r="61">
      <c r="F61" s="44"/>
      <c r="G61" s="68"/>
      <c r="I61" s="155" t="s">
        <v>10</v>
      </c>
      <c r="J61" s="116">
        <f>sum(J46:J59,L46:L59,N46:N59,P46:P59,R46:R59)</f>
        <v>5007.38</v>
      </c>
    </row>
    <row r="62">
      <c r="A62" s="157"/>
      <c r="B62" s="157"/>
      <c r="C62" s="158"/>
      <c r="G62" s="44"/>
      <c r="H62" s="68"/>
    </row>
    <row r="63">
      <c r="A63" s="40"/>
      <c r="B63" s="95"/>
      <c r="C63" s="97"/>
      <c r="D63" s="98"/>
      <c r="E63" s="98"/>
      <c r="F63" s="98"/>
      <c r="G63" s="44"/>
      <c r="H63" s="68"/>
    </row>
    <row r="64">
      <c r="A64" s="40"/>
      <c r="B64" s="95"/>
      <c r="C64" s="97"/>
      <c r="D64" s="98"/>
      <c r="E64" s="98"/>
      <c r="G64" s="44"/>
      <c r="H64" s="68"/>
    </row>
    <row r="65">
      <c r="A65" s="40"/>
      <c r="B65" s="95"/>
      <c r="C65" s="97"/>
      <c r="D65" s="98"/>
      <c r="F65" s="44"/>
      <c r="G65" s="44"/>
      <c r="H65" s="101"/>
    </row>
    <row r="66">
      <c r="A66" s="40"/>
      <c r="B66" s="95"/>
      <c r="C66" s="97"/>
      <c r="D66" s="98"/>
      <c r="E66" s="98"/>
      <c r="F66" s="44"/>
      <c r="G66" s="44"/>
      <c r="H66" s="101"/>
    </row>
    <row r="67">
      <c r="A67" s="40"/>
      <c r="B67" s="95"/>
      <c r="C67" s="97"/>
      <c r="D67" s="98"/>
      <c r="E67" s="98"/>
      <c r="F67" s="44"/>
      <c r="G67" s="44"/>
      <c r="H67" s="68"/>
      <c r="I67" s="104"/>
      <c r="J67" s="104"/>
      <c r="K67" s="104"/>
      <c r="L67" s="104"/>
      <c r="M67" s="104"/>
    </row>
    <row r="68">
      <c r="A68" s="40"/>
      <c r="B68" s="95"/>
      <c r="C68" s="97"/>
      <c r="D68" s="98"/>
      <c r="E68" s="98"/>
      <c r="F68" s="98"/>
      <c r="G68" s="44"/>
      <c r="H68" s="68"/>
    </row>
    <row r="69">
      <c r="A69" s="40"/>
      <c r="B69" s="95"/>
      <c r="C69" s="97"/>
      <c r="D69" s="98"/>
      <c r="E69" s="98"/>
      <c r="F69" s="98"/>
      <c r="G69" s="44"/>
      <c r="H69" s="68"/>
    </row>
    <row r="70">
      <c r="A70" s="40"/>
      <c r="B70" s="95"/>
      <c r="C70" s="97"/>
      <c r="D70" s="98"/>
      <c r="E70" s="98"/>
      <c r="F70" s="98"/>
      <c r="G70" s="44"/>
      <c r="H70" s="68"/>
    </row>
    <row r="71">
      <c r="A71" s="40"/>
      <c r="B71" s="95"/>
      <c r="C71" s="97"/>
      <c r="D71" s="98"/>
      <c r="E71" s="98"/>
      <c r="F71" s="98"/>
      <c r="G71" s="44"/>
      <c r="H71" s="68"/>
    </row>
    <row r="72">
      <c r="A72" s="40"/>
      <c r="B72" s="95"/>
      <c r="C72" s="97"/>
      <c r="D72" s="98"/>
      <c r="E72" s="98"/>
      <c r="F72" s="98"/>
      <c r="G72" s="44"/>
      <c r="H72" s="68"/>
    </row>
    <row r="73">
      <c r="A73" s="40"/>
      <c r="B73" s="95"/>
      <c r="C73" s="97"/>
      <c r="D73" s="98"/>
      <c r="E73" s="98"/>
      <c r="F73" s="98"/>
      <c r="G73" s="44"/>
      <c r="H73" s="93"/>
    </row>
    <row r="74">
      <c r="A74" s="40"/>
      <c r="B74" s="95"/>
      <c r="C74" s="97"/>
      <c r="D74" s="98"/>
      <c r="E74" s="98"/>
      <c r="F74" s="98"/>
      <c r="G74" s="44"/>
      <c r="H74" s="101"/>
    </row>
    <row r="75">
      <c r="A75" s="40"/>
      <c r="B75" s="95"/>
      <c r="C75" s="97"/>
      <c r="D75" s="98"/>
      <c r="E75" s="98"/>
      <c r="F75" s="98"/>
      <c r="G75" s="44"/>
      <c r="H75" s="68"/>
    </row>
    <row r="76">
      <c r="A76" s="40"/>
      <c r="B76" s="95"/>
      <c r="C76" s="97"/>
      <c r="D76" s="98"/>
      <c r="E76" s="98"/>
      <c r="F76" s="98"/>
      <c r="G76" s="44"/>
      <c r="H76" s="68"/>
      <c r="I76" s="111"/>
      <c r="N76" s="98"/>
    </row>
    <row r="77">
      <c r="A77" s="40"/>
      <c r="B77" s="95"/>
      <c r="C77" s="97"/>
      <c r="D77" s="98"/>
      <c r="E77" s="98"/>
      <c r="F77" s="98"/>
      <c r="G77" s="44"/>
      <c r="I77" s="111"/>
      <c r="N77" s="98"/>
    </row>
    <row r="78">
      <c r="A78" s="40"/>
      <c r="B78" s="95"/>
      <c r="C78" s="97"/>
      <c r="D78" s="98"/>
      <c r="E78" s="98"/>
      <c r="F78" s="98"/>
      <c r="G78" s="44"/>
      <c r="I78" s="111"/>
      <c r="N78" s="98"/>
    </row>
    <row r="79">
      <c r="A79" s="40"/>
      <c r="B79" s="95"/>
      <c r="C79" s="97"/>
      <c r="D79" s="98"/>
      <c r="E79" s="98"/>
      <c r="F79" s="98"/>
      <c r="G79" s="44"/>
      <c r="I79" s="111"/>
      <c r="N79" s="98"/>
    </row>
    <row r="80">
      <c r="A80" s="40"/>
      <c r="B80" s="95"/>
      <c r="C80" s="97"/>
      <c r="D80" s="98"/>
      <c r="E80" s="98"/>
      <c r="F80" s="98"/>
      <c r="G80" s="44"/>
      <c r="I80" s="111"/>
      <c r="N80" s="98"/>
    </row>
    <row r="81">
      <c r="A81" s="40"/>
      <c r="B81" s="95"/>
      <c r="C81" s="97"/>
      <c r="D81" s="98"/>
      <c r="E81" s="98"/>
      <c r="F81" s="98"/>
      <c r="G81" s="44"/>
      <c r="I81" s="111"/>
      <c r="N81" s="98"/>
    </row>
    <row r="82">
      <c r="A82" s="69"/>
      <c r="B82" s="69"/>
      <c r="C82" s="69"/>
      <c r="D82" s="69"/>
      <c r="E82" s="69"/>
      <c r="F82" s="69"/>
      <c r="G82" s="69"/>
    </row>
    <row r="83">
      <c r="A83" s="69"/>
      <c r="B83" s="69"/>
      <c r="C83" s="69"/>
      <c r="D83" s="69"/>
      <c r="E83" s="69"/>
      <c r="F83" s="69"/>
      <c r="G83" s="69"/>
    </row>
    <row r="84">
      <c r="A84" s="69"/>
      <c r="B84" s="69"/>
      <c r="C84" s="69"/>
      <c r="D84" s="69"/>
      <c r="E84" s="69"/>
      <c r="F84" s="69"/>
      <c r="G84" s="69"/>
    </row>
    <row r="86">
      <c r="A86" s="178"/>
      <c r="B86" s="179"/>
    </row>
    <row r="90">
      <c r="G90" s="181"/>
    </row>
  </sheetData>
  <mergeCells count="10">
    <mergeCell ref="B1:B2"/>
    <mergeCell ref="A43:C43"/>
    <mergeCell ref="J43:L43"/>
    <mergeCell ref="A1:A2"/>
    <mergeCell ref="C1:E1"/>
    <mergeCell ref="F1:H1"/>
    <mergeCell ref="I1:K1"/>
    <mergeCell ref="L1:N1"/>
    <mergeCell ref="O1:O2"/>
    <mergeCell ref="R1:V1"/>
  </mergeCell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5" max="15" width="6.88"/>
    <col customWidth="1" min="16" max="16" width="9.75"/>
  </cols>
  <sheetData>
    <row r="1">
      <c r="A1" s="2">
        <v>46143.0</v>
      </c>
      <c r="B1" s="4"/>
      <c r="C1" s="4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>
      <c r="A2" s="11" t="s">
        <v>0</v>
      </c>
      <c r="B2" s="13" t="s">
        <v>1</v>
      </c>
      <c r="C2" s="15" t="s">
        <v>2</v>
      </c>
      <c r="D2" s="4"/>
      <c r="E2" s="6"/>
      <c r="F2" s="19" t="s">
        <v>3</v>
      </c>
      <c r="G2" s="4"/>
      <c r="H2" s="6"/>
      <c r="I2" s="21" t="s">
        <v>4</v>
      </c>
      <c r="J2" s="4"/>
      <c r="K2" s="6"/>
      <c r="L2" s="24" t="s">
        <v>5</v>
      </c>
      <c r="M2" s="4"/>
      <c r="N2" s="6"/>
      <c r="P2" s="26" t="s">
        <v>6</v>
      </c>
    </row>
    <row r="3">
      <c r="A3" s="16"/>
      <c r="B3" s="17"/>
      <c r="C3" s="27" t="s">
        <v>8</v>
      </c>
      <c r="D3" s="27" t="s">
        <v>9</v>
      </c>
      <c r="E3" s="27" t="s">
        <v>10</v>
      </c>
      <c r="F3" s="28" t="s">
        <v>8</v>
      </c>
      <c r="G3" s="28" t="s">
        <v>9</v>
      </c>
      <c r="H3" s="28" t="s">
        <v>10</v>
      </c>
      <c r="I3" s="30" t="s">
        <v>8</v>
      </c>
      <c r="J3" s="30" t="s">
        <v>9</v>
      </c>
      <c r="K3" s="30" t="s">
        <v>10</v>
      </c>
      <c r="L3" s="32" t="s">
        <v>8</v>
      </c>
      <c r="M3" s="32" t="s">
        <v>9</v>
      </c>
      <c r="N3" s="32" t="s">
        <v>10</v>
      </c>
    </row>
    <row r="4">
      <c r="A4" s="29" t="s">
        <v>14</v>
      </c>
      <c r="B4" s="31">
        <v>46143.0</v>
      </c>
      <c r="C4" s="33">
        <v>40.0</v>
      </c>
      <c r="D4" s="33">
        <v>1312.77</v>
      </c>
      <c r="E4" s="36">
        <f t="shared" ref="E4:E34" si="1">C4+D4</f>
        <v>1352.77</v>
      </c>
      <c r="F4" s="33">
        <v>27.06</v>
      </c>
      <c r="G4" s="33">
        <v>180.51</v>
      </c>
      <c r="H4" s="37">
        <f t="shared" ref="H4:H34" si="2">F4+G4</f>
        <v>207.57</v>
      </c>
      <c r="I4" s="33">
        <v>26.0</v>
      </c>
      <c r="J4" s="33">
        <v>470.19</v>
      </c>
      <c r="K4" s="37">
        <f t="shared" ref="K4:K34" si="3">I4+J4</f>
        <v>496.19</v>
      </c>
      <c r="L4" s="33">
        <v>0.0</v>
      </c>
      <c r="M4" s="33">
        <v>135.32</v>
      </c>
      <c r="N4" s="37">
        <f t="shared" ref="N4:N9" si="4">L4+M4</f>
        <v>135.32</v>
      </c>
      <c r="P4" s="39">
        <f t="shared" ref="P4:P34" si="5">SUM(E4+H4+K4+N4)</f>
        <v>2191.85</v>
      </c>
    </row>
    <row r="5">
      <c r="A5" s="29" t="s">
        <v>15</v>
      </c>
      <c r="B5" s="31">
        <v>46144.0</v>
      </c>
      <c r="C5" s="33">
        <v>795.47</v>
      </c>
      <c r="D5" s="33">
        <v>439.57</v>
      </c>
      <c r="E5" s="37">
        <f t="shared" si="1"/>
        <v>1235.04</v>
      </c>
      <c r="F5" s="33">
        <v>48.71</v>
      </c>
      <c r="G5" s="33">
        <v>447.08</v>
      </c>
      <c r="H5" s="37">
        <f t="shared" si="2"/>
        <v>495.79</v>
      </c>
      <c r="I5" s="33">
        <v>78.46</v>
      </c>
      <c r="J5" s="33">
        <v>379.76</v>
      </c>
      <c r="K5" s="37">
        <f t="shared" si="3"/>
        <v>458.22</v>
      </c>
      <c r="L5" s="33">
        <v>169.9</v>
      </c>
      <c r="M5" s="33">
        <v>187.55</v>
      </c>
      <c r="N5" s="37">
        <f t="shared" si="4"/>
        <v>357.45</v>
      </c>
      <c r="P5" s="39">
        <f t="shared" si="5"/>
        <v>2546.5</v>
      </c>
    </row>
    <row r="6">
      <c r="A6" s="29" t="s">
        <v>22</v>
      </c>
      <c r="B6" s="31">
        <v>46145.0</v>
      </c>
      <c r="C6" s="33">
        <v>294.75</v>
      </c>
      <c r="D6" s="33">
        <v>938.94</v>
      </c>
      <c r="E6" s="37">
        <f t="shared" si="1"/>
        <v>1233.69</v>
      </c>
      <c r="F6" s="33">
        <v>284.96</v>
      </c>
      <c r="G6" s="33">
        <v>155.34</v>
      </c>
      <c r="H6" s="37">
        <f t="shared" si="2"/>
        <v>440.3</v>
      </c>
      <c r="I6" s="33">
        <v>220.88</v>
      </c>
      <c r="J6" s="33">
        <v>308.57</v>
      </c>
      <c r="K6" s="37">
        <f t="shared" si="3"/>
        <v>529.45</v>
      </c>
      <c r="L6" s="33">
        <v>15.0</v>
      </c>
      <c r="M6" s="33">
        <v>122.33</v>
      </c>
      <c r="N6" s="37">
        <f t="shared" si="4"/>
        <v>137.33</v>
      </c>
      <c r="P6" s="39">
        <f t="shared" si="5"/>
        <v>2340.77</v>
      </c>
    </row>
    <row r="7">
      <c r="A7" s="29" t="s">
        <v>13</v>
      </c>
      <c r="B7" s="31">
        <v>46146.0</v>
      </c>
      <c r="C7" s="33">
        <v>16.24</v>
      </c>
      <c r="D7" s="33">
        <v>150.2</v>
      </c>
      <c r="E7" s="37">
        <f t="shared" si="1"/>
        <v>166.44</v>
      </c>
      <c r="F7" s="33">
        <v>90.0</v>
      </c>
      <c r="G7" s="33">
        <v>442.6</v>
      </c>
      <c r="H7" s="37">
        <f t="shared" si="2"/>
        <v>532.6</v>
      </c>
      <c r="I7" s="33">
        <v>55.0</v>
      </c>
      <c r="J7" s="33">
        <v>43.3</v>
      </c>
      <c r="K7" s="37">
        <f t="shared" si="3"/>
        <v>98.3</v>
      </c>
      <c r="L7" s="33">
        <v>0.0</v>
      </c>
      <c r="M7" s="33">
        <v>0.0</v>
      </c>
      <c r="N7" s="37">
        <f t="shared" si="4"/>
        <v>0</v>
      </c>
      <c r="P7" s="39">
        <f t="shared" si="5"/>
        <v>797.34</v>
      </c>
    </row>
    <row r="8">
      <c r="A8" s="29" t="s">
        <v>21</v>
      </c>
      <c r="B8" s="31">
        <v>46147.0</v>
      </c>
      <c r="C8" s="33">
        <v>68.3</v>
      </c>
      <c r="D8" s="33">
        <v>46.65</v>
      </c>
      <c r="E8" s="37">
        <f t="shared" si="1"/>
        <v>114.95</v>
      </c>
      <c r="F8" s="33">
        <v>135.31</v>
      </c>
      <c r="G8" s="33">
        <v>43.3</v>
      </c>
      <c r="H8" s="37">
        <f t="shared" si="2"/>
        <v>178.61</v>
      </c>
      <c r="I8" s="33">
        <v>70.0</v>
      </c>
      <c r="J8" s="33">
        <v>144.9</v>
      </c>
      <c r="K8" s="37">
        <f t="shared" si="3"/>
        <v>214.9</v>
      </c>
      <c r="L8" s="33">
        <v>0.0</v>
      </c>
      <c r="M8" s="33">
        <v>115.8</v>
      </c>
      <c r="N8" s="37">
        <f t="shared" si="4"/>
        <v>115.8</v>
      </c>
      <c r="P8" s="39">
        <f t="shared" si="5"/>
        <v>624.26</v>
      </c>
    </row>
    <row r="9">
      <c r="A9" s="29" t="s">
        <v>24</v>
      </c>
      <c r="B9" s="31">
        <v>46148.0</v>
      </c>
      <c r="C9" s="33">
        <v>60.0</v>
      </c>
      <c r="D9" s="33">
        <v>470.9</v>
      </c>
      <c r="E9" s="37">
        <f t="shared" si="1"/>
        <v>530.9</v>
      </c>
      <c r="F9" s="33">
        <v>0.0</v>
      </c>
      <c r="G9" s="33">
        <v>119.07</v>
      </c>
      <c r="H9" s="37">
        <f t="shared" si="2"/>
        <v>119.07</v>
      </c>
      <c r="I9" s="33">
        <v>35.0</v>
      </c>
      <c r="J9" s="33">
        <v>151.15</v>
      </c>
      <c r="K9" s="37">
        <f t="shared" si="3"/>
        <v>186.15</v>
      </c>
      <c r="L9" s="33">
        <v>0.0</v>
      </c>
      <c r="M9" s="33">
        <v>90.89</v>
      </c>
      <c r="N9" s="37">
        <f t="shared" si="4"/>
        <v>90.89</v>
      </c>
      <c r="P9" s="39">
        <f t="shared" si="5"/>
        <v>927.01</v>
      </c>
    </row>
    <row r="10">
      <c r="A10" s="29" t="s">
        <v>26</v>
      </c>
      <c r="B10" s="31">
        <v>46149.0</v>
      </c>
      <c r="C10" s="33">
        <v>20.0</v>
      </c>
      <c r="D10" s="33">
        <v>446.49</v>
      </c>
      <c r="E10" s="37">
        <f t="shared" si="1"/>
        <v>466.49</v>
      </c>
      <c r="F10" s="33">
        <v>0.0</v>
      </c>
      <c r="G10" s="33">
        <v>265.21</v>
      </c>
      <c r="H10" s="37">
        <f t="shared" si="2"/>
        <v>265.21</v>
      </c>
      <c r="I10" s="33">
        <v>0.0</v>
      </c>
      <c r="J10" s="33">
        <v>81.22</v>
      </c>
      <c r="K10" s="37">
        <f t="shared" si="3"/>
        <v>81.22</v>
      </c>
      <c r="L10" s="33">
        <v>0.0</v>
      </c>
      <c r="M10" s="33">
        <v>0.0</v>
      </c>
      <c r="N10" s="36">
        <v>0.0</v>
      </c>
      <c r="P10" s="39">
        <f t="shared" si="5"/>
        <v>812.92</v>
      </c>
    </row>
    <row r="11">
      <c r="A11" s="29" t="s">
        <v>14</v>
      </c>
      <c r="B11" s="31">
        <v>46150.0</v>
      </c>
      <c r="C11" s="33">
        <v>48.0</v>
      </c>
      <c r="D11" s="33">
        <v>455.76</v>
      </c>
      <c r="E11" s="37">
        <f t="shared" si="1"/>
        <v>503.76</v>
      </c>
      <c r="F11" s="33">
        <v>79.13</v>
      </c>
      <c r="G11" s="33">
        <v>216.51</v>
      </c>
      <c r="H11" s="37">
        <f t="shared" si="2"/>
        <v>295.64</v>
      </c>
      <c r="I11" s="33">
        <v>93.71</v>
      </c>
      <c r="J11" s="33">
        <v>43.3</v>
      </c>
      <c r="K11" s="37">
        <f t="shared" si="3"/>
        <v>137.01</v>
      </c>
      <c r="L11" s="33">
        <v>0.0</v>
      </c>
      <c r="M11" s="33">
        <v>286.67</v>
      </c>
      <c r="N11" s="37">
        <f t="shared" ref="N11:N34" si="6">L11+M11</f>
        <v>286.67</v>
      </c>
      <c r="P11" s="39">
        <f t="shared" si="5"/>
        <v>1223.08</v>
      </c>
    </row>
    <row r="12">
      <c r="A12" s="29" t="s">
        <v>15</v>
      </c>
      <c r="B12" s="31">
        <v>46151.0</v>
      </c>
      <c r="C12" s="33">
        <v>120.0</v>
      </c>
      <c r="D12" s="33">
        <v>2839.3</v>
      </c>
      <c r="E12" s="37">
        <f t="shared" si="1"/>
        <v>2959.3</v>
      </c>
      <c r="F12" s="33">
        <v>219.16</v>
      </c>
      <c r="G12" s="33">
        <v>470.39</v>
      </c>
      <c r="H12" s="37">
        <f t="shared" si="2"/>
        <v>689.55</v>
      </c>
      <c r="I12" s="33">
        <v>103.71</v>
      </c>
      <c r="J12" s="33">
        <v>578.05</v>
      </c>
      <c r="K12" s="37">
        <f t="shared" si="3"/>
        <v>681.76</v>
      </c>
      <c r="L12" s="33">
        <v>25.0</v>
      </c>
      <c r="M12" s="33">
        <v>454.34</v>
      </c>
      <c r="N12" s="37">
        <f t="shared" si="6"/>
        <v>479.34</v>
      </c>
      <c r="P12" s="39">
        <f t="shared" si="5"/>
        <v>4809.95</v>
      </c>
    </row>
    <row r="13">
      <c r="A13" s="29" t="s">
        <v>22</v>
      </c>
      <c r="B13" s="31">
        <v>46152.0</v>
      </c>
      <c r="C13" s="50">
        <v>88.31</v>
      </c>
      <c r="D13" s="50">
        <v>850.26</v>
      </c>
      <c r="E13" s="51">
        <f t="shared" si="1"/>
        <v>938.57</v>
      </c>
      <c r="F13" s="33">
        <v>63.71</v>
      </c>
      <c r="G13" s="33">
        <v>422.18</v>
      </c>
      <c r="H13" s="37">
        <f t="shared" si="2"/>
        <v>485.89</v>
      </c>
      <c r="I13" s="33">
        <v>117.0</v>
      </c>
      <c r="J13" s="33">
        <v>187.38</v>
      </c>
      <c r="K13" s="37">
        <f t="shared" si="3"/>
        <v>304.38</v>
      </c>
      <c r="L13" s="33">
        <v>121.12</v>
      </c>
      <c r="M13" s="33">
        <v>169.22</v>
      </c>
      <c r="N13" s="37">
        <f t="shared" si="6"/>
        <v>290.34</v>
      </c>
      <c r="P13" s="52">
        <f t="shared" si="5"/>
        <v>2019.18</v>
      </c>
    </row>
    <row r="14">
      <c r="A14" s="29" t="s">
        <v>13</v>
      </c>
      <c r="B14" s="31">
        <v>46153.0</v>
      </c>
      <c r="C14" s="33">
        <v>568.77</v>
      </c>
      <c r="D14" s="33">
        <v>585.12</v>
      </c>
      <c r="E14" s="37">
        <f t="shared" si="1"/>
        <v>1153.89</v>
      </c>
      <c r="F14" s="33">
        <v>90.78</v>
      </c>
      <c r="G14" s="33">
        <v>157.56</v>
      </c>
      <c r="H14" s="37">
        <f t="shared" si="2"/>
        <v>248.34</v>
      </c>
      <c r="I14" s="33">
        <v>40.0</v>
      </c>
      <c r="J14" s="33">
        <v>102.32</v>
      </c>
      <c r="K14" s="37">
        <f t="shared" si="3"/>
        <v>142.32</v>
      </c>
      <c r="L14" s="33">
        <v>0.0</v>
      </c>
      <c r="M14" s="33">
        <v>173.95</v>
      </c>
      <c r="N14" s="37">
        <f t="shared" si="6"/>
        <v>173.95</v>
      </c>
      <c r="P14" s="39">
        <f t="shared" si="5"/>
        <v>1718.5</v>
      </c>
    </row>
    <row r="15">
      <c r="A15" s="29" t="s">
        <v>21</v>
      </c>
      <c r="B15" s="31">
        <v>46154.0</v>
      </c>
      <c r="C15" s="33">
        <v>189.44</v>
      </c>
      <c r="D15" s="33">
        <v>143.44</v>
      </c>
      <c r="E15" s="37">
        <f t="shared" si="1"/>
        <v>332.88</v>
      </c>
      <c r="F15" s="33">
        <v>23.82</v>
      </c>
      <c r="G15" s="33">
        <v>37.35</v>
      </c>
      <c r="H15" s="37">
        <f t="shared" si="2"/>
        <v>61.17</v>
      </c>
      <c r="I15" s="33">
        <v>20.0</v>
      </c>
      <c r="J15" s="33">
        <v>25.98</v>
      </c>
      <c r="K15" s="37">
        <f t="shared" si="3"/>
        <v>45.98</v>
      </c>
      <c r="L15" s="33">
        <v>0.0</v>
      </c>
      <c r="M15" s="33">
        <v>0.0</v>
      </c>
      <c r="N15" s="37">
        <f t="shared" si="6"/>
        <v>0</v>
      </c>
      <c r="P15" s="39">
        <f t="shared" si="5"/>
        <v>440.03</v>
      </c>
    </row>
    <row r="16">
      <c r="A16" s="29" t="s">
        <v>24</v>
      </c>
      <c r="B16" s="31">
        <v>46155.0</v>
      </c>
      <c r="C16" s="33">
        <v>313.93</v>
      </c>
      <c r="D16" s="33">
        <v>275.76</v>
      </c>
      <c r="E16" s="37">
        <f t="shared" si="1"/>
        <v>589.69</v>
      </c>
      <c r="F16" s="33">
        <v>51.24</v>
      </c>
      <c r="G16" s="33">
        <v>191.34</v>
      </c>
      <c r="H16" s="37">
        <f t="shared" si="2"/>
        <v>242.58</v>
      </c>
      <c r="I16" s="33">
        <v>25.0</v>
      </c>
      <c r="J16" s="33">
        <v>194.32</v>
      </c>
      <c r="K16" s="37">
        <f t="shared" si="3"/>
        <v>219.32</v>
      </c>
      <c r="L16" s="33">
        <v>81.78</v>
      </c>
      <c r="M16" s="33">
        <v>19.0</v>
      </c>
      <c r="N16" s="37">
        <f t="shared" si="6"/>
        <v>100.78</v>
      </c>
      <c r="P16" s="39">
        <f t="shared" si="5"/>
        <v>1152.37</v>
      </c>
    </row>
    <row r="17">
      <c r="A17" s="29" t="s">
        <v>26</v>
      </c>
      <c r="B17" s="31">
        <v>46156.0</v>
      </c>
      <c r="C17" s="33">
        <v>39.06</v>
      </c>
      <c r="D17" s="33">
        <v>99.6</v>
      </c>
      <c r="E17" s="37">
        <f t="shared" si="1"/>
        <v>138.66</v>
      </c>
      <c r="F17" s="33">
        <v>20.0</v>
      </c>
      <c r="G17" s="33">
        <v>119.07</v>
      </c>
      <c r="H17" s="37">
        <f t="shared" si="2"/>
        <v>139.07</v>
      </c>
      <c r="I17" s="33">
        <v>30.0</v>
      </c>
      <c r="J17" s="33">
        <v>102.85</v>
      </c>
      <c r="K17" s="37">
        <f t="shared" si="3"/>
        <v>132.85</v>
      </c>
      <c r="L17" s="33">
        <v>0.0</v>
      </c>
      <c r="M17" s="33">
        <v>0.0</v>
      </c>
      <c r="N17" s="37">
        <f t="shared" si="6"/>
        <v>0</v>
      </c>
      <c r="P17" s="39">
        <f t="shared" si="5"/>
        <v>410.58</v>
      </c>
    </row>
    <row r="18">
      <c r="A18" s="29" t="s">
        <v>14</v>
      </c>
      <c r="B18" s="31">
        <v>46157.0</v>
      </c>
      <c r="C18" s="33">
        <v>100.67</v>
      </c>
      <c r="D18" s="33">
        <v>650.35</v>
      </c>
      <c r="E18" s="37">
        <f t="shared" si="1"/>
        <v>751.02</v>
      </c>
      <c r="F18" s="33">
        <v>52.89</v>
      </c>
      <c r="G18" s="33">
        <v>348.86</v>
      </c>
      <c r="H18" s="37">
        <f t="shared" si="2"/>
        <v>401.75</v>
      </c>
      <c r="I18" s="33">
        <v>0.0</v>
      </c>
      <c r="J18" s="33">
        <v>43.3</v>
      </c>
      <c r="K18" s="37">
        <f t="shared" si="3"/>
        <v>43.3</v>
      </c>
      <c r="L18" s="33">
        <v>37.0</v>
      </c>
      <c r="M18" s="33">
        <v>259.8</v>
      </c>
      <c r="N18" s="37">
        <f t="shared" si="6"/>
        <v>296.8</v>
      </c>
      <c r="P18" s="39">
        <f t="shared" si="5"/>
        <v>1492.87</v>
      </c>
    </row>
    <row r="19">
      <c r="A19" s="29" t="s">
        <v>15</v>
      </c>
      <c r="B19" s="31">
        <v>46158.0</v>
      </c>
      <c r="C19" s="33">
        <v>506.62</v>
      </c>
      <c r="D19" s="33">
        <v>666.48</v>
      </c>
      <c r="E19" s="37">
        <f t="shared" si="1"/>
        <v>1173.1</v>
      </c>
      <c r="F19" s="33">
        <v>129.9</v>
      </c>
      <c r="G19" s="33">
        <v>376.83</v>
      </c>
      <c r="H19" s="37">
        <f t="shared" si="2"/>
        <v>506.73</v>
      </c>
      <c r="I19" s="33">
        <v>0.0</v>
      </c>
      <c r="J19" s="33">
        <v>481.72</v>
      </c>
      <c r="K19" s="37">
        <f t="shared" si="3"/>
        <v>481.72</v>
      </c>
      <c r="L19" s="33">
        <v>74.13</v>
      </c>
      <c r="M19" s="33">
        <v>264.85</v>
      </c>
      <c r="N19" s="37">
        <f t="shared" si="6"/>
        <v>338.98</v>
      </c>
      <c r="P19" s="39">
        <f t="shared" si="5"/>
        <v>2500.53</v>
      </c>
    </row>
    <row r="20">
      <c r="A20" s="29" t="s">
        <v>22</v>
      </c>
      <c r="B20" s="31">
        <v>46159.0</v>
      </c>
      <c r="C20" s="33">
        <v>456.01</v>
      </c>
      <c r="D20" s="33">
        <v>1306.05</v>
      </c>
      <c r="E20" s="37">
        <f t="shared" si="1"/>
        <v>1762.06</v>
      </c>
      <c r="F20" s="33">
        <v>146.14</v>
      </c>
      <c r="G20" s="44">
        <v>119.08</v>
      </c>
      <c r="H20" s="37">
        <f t="shared" si="2"/>
        <v>265.22</v>
      </c>
      <c r="I20" s="33">
        <v>149.91</v>
      </c>
      <c r="J20" s="33">
        <v>77.43</v>
      </c>
      <c r="K20" s="37">
        <f t="shared" si="3"/>
        <v>227.34</v>
      </c>
      <c r="L20" s="33">
        <v>51.97</v>
      </c>
      <c r="M20" s="33">
        <v>241.84</v>
      </c>
      <c r="N20" s="37">
        <f t="shared" si="6"/>
        <v>293.81</v>
      </c>
      <c r="P20" s="39">
        <f t="shared" si="5"/>
        <v>2548.43</v>
      </c>
    </row>
    <row r="21">
      <c r="A21" s="29" t="s">
        <v>13</v>
      </c>
      <c r="B21" s="31">
        <v>46160.0</v>
      </c>
      <c r="C21" s="33">
        <v>264.03</v>
      </c>
      <c r="D21" s="33">
        <v>367.44</v>
      </c>
      <c r="E21" s="37">
        <f t="shared" si="1"/>
        <v>631.47</v>
      </c>
      <c r="F21" s="33">
        <v>90.77</v>
      </c>
      <c r="G21" s="33">
        <v>319.34</v>
      </c>
      <c r="H21" s="37">
        <f t="shared" si="2"/>
        <v>410.11</v>
      </c>
      <c r="I21" s="33">
        <v>0.0</v>
      </c>
      <c r="J21" s="33">
        <v>162.38</v>
      </c>
      <c r="K21" s="37">
        <f t="shared" si="3"/>
        <v>162.38</v>
      </c>
      <c r="L21" s="33">
        <v>117.06</v>
      </c>
      <c r="M21" s="33">
        <v>260.97</v>
      </c>
      <c r="N21" s="37">
        <f t="shared" si="6"/>
        <v>378.03</v>
      </c>
      <c r="P21" s="39">
        <f t="shared" si="5"/>
        <v>1581.99</v>
      </c>
    </row>
    <row r="22">
      <c r="A22" s="29" t="s">
        <v>21</v>
      </c>
      <c r="B22" s="31">
        <v>46161.0</v>
      </c>
      <c r="C22" s="33">
        <v>0.0</v>
      </c>
      <c r="D22" s="33">
        <v>400.11</v>
      </c>
      <c r="E22" s="37">
        <f t="shared" si="1"/>
        <v>400.11</v>
      </c>
      <c r="F22" s="33">
        <v>81.19</v>
      </c>
      <c r="G22" s="33">
        <v>0.0</v>
      </c>
      <c r="H22" s="37">
        <f t="shared" si="2"/>
        <v>81.19</v>
      </c>
      <c r="I22" s="33">
        <v>75.0</v>
      </c>
      <c r="J22" s="33">
        <v>86.6</v>
      </c>
      <c r="K22" s="37">
        <f t="shared" si="3"/>
        <v>161.6</v>
      </c>
      <c r="L22" s="33">
        <v>0.0</v>
      </c>
      <c r="M22" s="33">
        <v>89.86</v>
      </c>
      <c r="N22" s="37">
        <f t="shared" si="6"/>
        <v>89.86</v>
      </c>
      <c r="P22" s="39">
        <f t="shared" si="5"/>
        <v>732.76</v>
      </c>
    </row>
    <row r="23">
      <c r="A23" s="29" t="s">
        <v>24</v>
      </c>
      <c r="B23" s="31">
        <v>46162.0</v>
      </c>
      <c r="C23" s="33">
        <v>0.0</v>
      </c>
      <c r="D23" s="33">
        <v>395.82</v>
      </c>
      <c r="E23" s="37">
        <f t="shared" si="1"/>
        <v>395.82</v>
      </c>
      <c r="F23" s="33">
        <v>0.0</v>
      </c>
      <c r="G23" s="33">
        <v>128.55</v>
      </c>
      <c r="H23" s="37">
        <f t="shared" si="2"/>
        <v>128.55</v>
      </c>
      <c r="I23" s="33">
        <v>20.0</v>
      </c>
      <c r="J23" s="33">
        <v>92.02</v>
      </c>
      <c r="K23" s="37">
        <f t="shared" si="3"/>
        <v>112.02</v>
      </c>
      <c r="L23" s="33">
        <v>140.0</v>
      </c>
      <c r="M23" s="33">
        <v>180.67</v>
      </c>
      <c r="N23" s="37">
        <f t="shared" si="6"/>
        <v>320.67</v>
      </c>
      <c r="P23" s="39">
        <f t="shared" si="5"/>
        <v>957.06</v>
      </c>
    </row>
    <row r="24">
      <c r="A24" s="29" t="s">
        <v>26</v>
      </c>
      <c r="B24" s="31">
        <v>46163.0</v>
      </c>
      <c r="C24" s="33">
        <v>94.13</v>
      </c>
      <c r="D24" s="33">
        <v>580.76</v>
      </c>
      <c r="E24" s="37">
        <f t="shared" si="1"/>
        <v>674.89</v>
      </c>
      <c r="F24" s="33">
        <v>71.45</v>
      </c>
      <c r="G24" s="33">
        <v>102.42</v>
      </c>
      <c r="H24" s="37">
        <f t="shared" si="2"/>
        <v>173.87</v>
      </c>
      <c r="I24" s="33">
        <v>0.0</v>
      </c>
      <c r="J24" s="33">
        <v>137.49</v>
      </c>
      <c r="K24" s="37">
        <f t="shared" si="3"/>
        <v>137.49</v>
      </c>
      <c r="L24" s="33">
        <v>88.3</v>
      </c>
      <c r="M24" s="33">
        <v>21.65</v>
      </c>
      <c r="N24" s="37">
        <f t="shared" si="6"/>
        <v>109.95</v>
      </c>
      <c r="P24" s="39">
        <f t="shared" si="5"/>
        <v>1096.2</v>
      </c>
    </row>
    <row r="25">
      <c r="A25" s="29" t="s">
        <v>14</v>
      </c>
      <c r="B25" s="31">
        <v>46164.0</v>
      </c>
      <c r="C25" s="33">
        <v>61.0</v>
      </c>
      <c r="D25" s="33">
        <v>928.12</v>
      </c>
      <c r="E25" s="37">
        <f t="shared" si="1"/>
        <v>989.12</v>
      </c>
      <c r="F25" s="33">
        <v>130.0</v>
      </c>
      <c r="G25" s="33">
        <v>151.55</v>
      </c>
      <c r="H25" s="37">
        <f t="shared" si="2"/>
        <v>281.55</v>
      </c>
      <c r="I25" s="33">
        <v>218.3</v>
      </c>
      <c r="J25" s="33">
        <v>170.61</v>
      </c>
      <c r="K25" s="37">
        <f t="shared" si="3"/>
        <v>388.91</v>
      </c>
      <c r="L25" s="33">
        <v>50.0</v>
      </c>
      <c r="M25" s="33">
        <v>96.19</v>
      </c>
      <c r="N25" s="37">
        <f t="shared" si="6"/>
        <v>146.19</v>
      </c>
      <c r="P25" s="39">
        <f t="shared" si="5"/>
        <v>1805.77</v>
      </c>
    </row>
    <row r="26">
      <c r="A26" s="29" t="s">
        <v>15</v>
      </c>
      <c r="B26" s="31">
        <v>46165.0</v>
      </c>
      <c r="C26" s="33">
        <v>210.31</v>
      </c>
      <c r="D26" s="33">
        <v>1050.78</v>
      </c>
      <c r="E26" s="58">
        <f t="shared" si="1"/>
        <v>1261.09</v>
      </c>
      <c r="F26" s="33">
        <v>232.74</v>
      </c>
      <c r="G26" s="33">
        <v>242.22</v>
      </c>
      <c r="H26" s="58">
        <f t="shared" si="2"/>
        <v>474.96</v>
      </c>
      <c r="I26" s="33">
        <v>636.61</v>
      </c>
      <c r="J26" s="33">
        <v>328.68</v>
      </c>
      <c r="K26" s="37">
        <f t="shared" si="3"/>
        <v>965.29</v>
      </c>
      <c r="L26" s="33">
        <v>126.53</v>
      </c>
      <c r="M26" s="33">
        <v>579.34</v>
      </c>
      <c r="N26" s="37">
        <f t="shared" si="6"/>
        <v>705.87</v>
      </c>
      <c r="P26" s="39">
        <f t="shared" si="5"/>
        <v>3407.21</v>
      </c>
    </row>
    <row r="27">
      <c r="A27" s="29" t="s">
        <v>22</v>
      </c>
      <c r="B27" s="31">
        <v>46166.0</v>
      </c>
      <c r="C27" s="33">
        <v>184.26</v>
      </c>
      <c r="D27" s="33">
        <v>886.61</v>
      </c>
      <c r="E27" s="58">
        <f t="shared" si="1"/>
        <v>1070.87</v>
      </c>
      <c r="F27" s="33">
        <v>207.38</v>
      </c>
      <c r="G27" s="33">
        <v>313.39</v>
      </c>
      <c r="H27" s="58">
        <f t="shared" si="2"/>
        <v>520.77</v>
      </c>
      <c r="I27" s="33">
        <v>119.07</v>
      </c>
      <c r="J27" s="33">
        <v>300.78</v>
      </c>
      <c r="K27" s="37">
        <f t="shared" si="3"/>
        <v>419.85</v>
      </c>
      <c r="L27" s="33">
        <v>169.33</v>
      </c>
      <c r="M27" s="33">
        <v>247.2</v>
      </c>
      <c r="N27" s="37">
        <f t="shared" si="6"/>
        <v>416.53</v>
      </c>
      <c r="P27" s="39">
        <f t="shared" si="5"/>
        <v>2428.02</v>
      </c>
    </row>
    <row r="28">
      <c r="A28" s="29" t="s">
        <v>13</v>
      </c>
      <c r="B28" s="31">
        <v>46167.0</v>
      </c>
      <c r="C28" s="33">
        <v>127.54</v>
      </c>
      <c r="D28" s="33">
        <v>1092.39</v>
      </c>
      <c r="E28" s="58">
        <f t="shared" si="1"/>
        <v>1219.93</v>
      </c>
      <c r="F28" s="33">
        <v>227.33</v>
      </c>
      <c r="G28" s="33">
        <v>389.71</v>
      </c>
      <c r="H28" s="58">
        <f t="shared" si="2"/>
        <v>617.04</v>
      </c>
      <c r="I28" s="33">
        <v>299.13</v>
      </c>
      <c r="J28" s="33">
        <v>232.74</v>
      </c>
      <c r="K28" s="37">
        <f t="shared" si="3"/>
        <v>531.87</v>
      </c>
      <c r="L28" s="33">
        <v>0.0</v>
      </c>
      <c r="M28" s="33">
        <v>346.4</v>
      </c>
      <c r="N28" s="37">
        <f t="shared" si="6"/>
        <v>346.4</v>
      </c>
      <c r="P28" s="39">
        <f t="shared" si="5"/>
        <v>2715.24</v>
      </c>
    </row>
    <row r="29">
      <c r="A29" s="29" t="s">
        <v>21</v>
      </c>
      <c r="B29" s="31">
        <v>46168.0</v>
      </c>
      <c r="C29" s="33">
        <v>129.9</v>
      </c>
      <c r="D29" s="33">
        <v>451.21</v>
      </c>
      <c r="E29" s="58">
        <f t="shared" si="1"/>
        <v>581.11</v>
      </c>
      <c r="F29" s="33">
        <v>86.6</v>
      </c>
      <c r="G29" s="33">
        <v>142.72</v>
      </c>
      <c r="H29" s="58">
        <f t="shared" si="2"/>
        <v>229.32</v>
      </c>
      <c r="I29" s="33">
        <v>44.0</v>
      </c>
      <c r="J29" s="33">
        <v>192.69</v>
      </c>
      <c r="K29" s="37">
        <f t="shared" si="3"/>
        <v>236.69</v>
      </c>
      <c r="L29" s="33">
        <v>35.0</v>
      </c>
      <c r="M29" s="33">
        <v>214.35</v>
      </c>
      <c r="N29" s="37">
        <f t="shared" si="6"/>
        <v>249.35</v>
      </c>
      <c r="P29" s="39">
        <f t="shared" si="5"/>
        <v>1296.47</v>
      </c>
    </row>
    <row r="30">
      <c r="A30" s="29" t="s">
        <v>24</v>
      </c>
      <c r="B30" s="31">
        <v>46169.0</v>
      </c>
      <c r="C30" s="33">
        <v>140.77</v>
      </c>
      <c r="D30" s="33">
        <v>526.64</v>
      </c>
      <c r="E30" s="58">
        <f t="shared" si="1"/>
        <v>667.41</v>
      </c>
      <c r="F30" s="33">
        <v>27.06</v>
      </c>
      <c r="G30" s="33">
        <v>223.98</v>
      </c>
      <c r="H30" s="58">
        <f t="shared" si="2"/>
        <v>251.04</v>
      </c>
      <c r="I30" s="33">
        <v>115.0</v>
      </c>
      <c r="J30" s="33">
        <v>75.78</v>
      </c>
      <c r="K30" s="37">
        <f t="shared" si="3"/>
        <v>190.78</v>
      </c>
      <c r="L30" s="33">
        <v>137.42</v>
      </c>
      <c r="M30" s="33">
        <v>185.11</v>
      </c>
      <c r="N30" s="37">
        <f t="shared" si="6"/>
        <v>322.53</v>
      </c>
      <c r="P30" s="39">
        <f t="shared" si="5"/>
        <v>1431.76</v>
      </c>
    </row>
    <row r="31">
      <c r="A31" s="29" t="s">
        <v>26</v>
      </c>
      <c r="B31" s="31">
        <v>46170.0</v>
      </c>
      <c r="C31" s="33">
        <v>113.36</v>
      </c>
      <c r="D31" s="33">
        <v>462.8</v>
      </c>
      <c r="E31" s="58">
        <f t="shared" si="1"/>
        <v>576.16</v>
      </c>
      <c r="F31" s="33">
        <v>48.71</v>
      </c>
      <c r="G31" s="33">
        <v>92.01</v>
      </c>
      <c r="H31" s="58">
        <f t="shared" si="2"/>
        <v>140.72</v>
      </c>
      <c r="I31" s="33">
        <v>35.0</v>
      </c>
      <c r="J31" s="33">
        <v>221.37</v>
      </c>
      <c r="K31" s="37">
        <f t="shared" si="3"/>
        <v>256.37</v>
      </c>
      <c r="L31" s="33">
        <v>117.43</v>
      </c>
      <c r="M31" s="33">
        <v>113.66</v>
      </c>
      <c r="N31" s="37">
        <f t="shared" si="6"/>
        <v>231.09</v>
      </c>
      <c r="P31" s="39">
        <f t="shared" si="5"/>
        <v>1204.34</v>
      </c>
    </row>
    <row r="32">
      <c r="A32" s="29" t="s">
        <v>14</v>
      </c>
      <c r="B32" s="31">
        <v>46171.0</v>
      </c>
      <c r="C32" s="33">
        <v>30.0</v>
      </c>
      <c r="D32" s="33">
        <v>369.03</v>
      </c>
      <c r="E32" s="58">
        <f t="shared" si="1"/>
        <v>399.03</v>
      </c>
      <c r="F32" s="60">
        <v>71.0</v>
      </c>
      <c r="G32" s="60">
        <v>437.78</v>
      </c>
      <c r="H32" s="58">
        <f t="shared" si="2"/>
        <v>508.78</v>
      </c>
      <c r="I32" s="60">
        <v>57.89</v>
      </c>
      <c r="J32" s="60">
        <v>316.76</v>
      </c>
      <c r="K32" s="37">
        <f t="shared" si="3"/>
        <v>374.65</v>
      </c>
      <c r="L32" s="33">
        <v>99.6</v>
      </c>
      <c r="M32" s="33">
        <v>179.48</v>
      </c>
      <c r="N32" s="37">
        <f t="shared" si="6"/>
        <v>279.08</v>
      </c>
      <c r="P32" s="39">
        <f t="shared" si="5"/>
        <v>1561.54</v>
      </c>
    </row>
    <row r="33">
      <c r="A33" s="29" t="s">
        <v>15</v>
      </c>
      <c r="B33" s="31">
        <v>46172.0</v>
      </c>
      <c r="C33" s="33">
        <v>25.41</v>
      </c>
      <c r="D33" s="60">
        <v>1028.08</v>
      </c>
      <c r="E33" s="58">
        <f t="shared" si="1"/>
        <v>1053.49</v>
      </c>
      <c r="F33" s="60">
        <v>81.65</v>
      </c>
      <c r="G33" s="60">
        <v>261.8</v>
      </c>
      <c r="H33" s="58">
        <f t="shared" si="2"/>
        <v>343.45</v>
      </c>
      <c r="I33" s="60">
        <v>0.0</v>
      </c>
      <c r="J33" s="60">
        <v>431.92</v>
      </c>
      <c r="K33" s="37">
        <f t="shared" si="3"/>
        <v>431.92</v>
      </c>
      <c r="L33" s="60">
        <v>79.02</v>
      </c>
      <c r="M33" s="33">
        <v>184.57</v>
      </c>
      <c r="N33" s="37">
        <f t="shared" si="6"/>
        <v>263.59</v>
      </c>
      <c r="P33" s="39">
        <f t="shared" si="5"/>
        <v>2092.45</v>
      </c>
    </row>
    <row r="34">
      <c r="A34" s="29" t="s">
        <v>22</v>
      </c>
      <c r="B34" s="31">
        <v>46173.0</v>
      </c>
      <c r="C34" s="33">
        <v>245.67</v>
      </c>
      <c r="D34" s="60">
        <v>1387.0</v>
      </c>
      <c r="E34" s="58">
        <f t="shared" si="1"/>
        <v>1632.67</v>
      </c>
      <c r="F34" s="60">
        <v>57.89</v>
      </c>
      <c r="G34" s="60">
        <v>324.77</v>
      </c>
      <c r="H34" s="58">
        <f t="shared" si="2"/>
        <v>382.66</v>
      </c>
      <c r="I34" s="60">
        <v>43.3</v>
      </c>
      <c r="J34" s="60">
        <v>370.77</v>
      </c>
      <c r="K34" s="37">
        <f t="shared" si="3"/>
        <v>414.07</v>
      </c>
      <c r="L34" s="60">
        <v>298.61</v>
      </c>
      <c r="M34" s="60">
        <v>414.6</v>
      </c>
      <c r="N34" s="37">
        <f t="shared" si="6"/>
        <v>713.21</v>
      </c>
      <c r="P34" s="39">
        <f t="shared" si="5"/>
        <v>3142.61</v>
      </c>
    </row>
    <row r="35">
      <c r="A35" s="7"/>
      <c r="B35" s="7"/>
      <c r="C35" s="61">
        <f t="shared" ref="C35:D35" si="7">SUM(C4:C34)</f>
        <v>5351.95</v>
      </c>
      <c r="D35" s="61">
        <f t="shared" si="7"/>
        <v>21604.43</v>
      </c>
      <c r="E35" s="62"/>
      <c r="F35" s="61">
        <f t="shared" ref="F35:G35" si="8">SUM(F4:F34)</f>
        <v>2876.58</v>
      </c>
      <c r="G35" s="61">
        <f t="shared" si="8"/>
        <v>7242.52</v>
      </c>
      <c r="H35" s="62"/>
      <c r="I35" s="61">
        <f t="shared" ref="I35:J35" si="9">SUM(I4:I34)</f>
        <v>2727.97</v>
      </c>
      <c r="J35" s="61">
        <f t="shared" si="9"/>
        <v>6536.33</v>
      </c>
      <c r="K35" s="62"/>
      <c r="L35" s="61">
        <f t="shared" ref="L35:M35" si="10">SUM(L4:L34)</f>
        <v>2034.2</v>
      </c>
      <c r="M35" s="61">
        <f t="shared" si="10"/>
        <v>5635.61</v>
      </c>
      <c r="N35" s="7"/>
    </row>
    <row r="36">
      <c r="A36" s="7"/>
      <c r="B36" s="7"/>
      <c r="C36" s="7"/>
      <c r="D36" s="64" t="s">
        <v>61</v>
      </c>
      <c r="E36" s="65">
        <f>SUM(E4:E34)</f>
        <v>26956.38</v>
      </c>
      <c r="F36" s="7"/>
      <c r="G36" s="64" t="s">
        <v>3</v>
      </c>
      <c r="H36" s="66">
        <f>SUM(H4:H34)</f>
        <v>10119.1</v>
      </c>
      <c r="I36" s="7"/>
      <c r="J36" s="64" t="s">
        <v>4</v>
      </c>
      <c r="K36" s="67">
        <f>SUM(K4:K34)</f>
        <v>9264.3</v>
      </c>
      <c r="L36" s="7"/>
      <c r="M36" s="64" t="s">
        <v>5</v>
      </c>
      <c r="N36" s="67">
        <f>SUM(N4:N34)</f>
        <v>7669.81</v>
      </c>
      <c r="P36" s="72">
        <f>SUM(P4:P34)</f>
        <v>54009.59</v>
      </c>
    </row>
    <row r="39">
      <c r="A39" s="73"/>
      <c r="B39" s="73"/>
      <c r="C39" s="74" t="s">
        <v>63</v>
      </c>
      <c r="D39" s="76">
        <f>C35+F35+I35+L35</f>
        <v>12990.7</v>
      </c>
      <c r="E39" s="7"/>
      <c r="F39" s="7"/>
      <c r="G39" s="7"/>
      <c r="H39" s="7"/>
      <c r="I39" s="7"/>
    </row>
    <row r="40">
      <c r="A40" s="73"/>
      <c r="B40" s="73"/>
      <c r="C40" s="74" t="s">
        <v>64</v>
      </c>
      <c r="D40" s="76">
        <f>D35+G35+J35+M35</f>
        <v>41018.89</v>
      </c>
      <c r="E40" s="7"/>
      <c r="F40" s="7"/>
      <c r="G40" s="7"/>
      <c r="H40" s="7"/>
      <c r="I40" s="7"/>
    </row>
    <row r="41">
      <c r="A41" s="78"/>
      <c r="B41" s="78"/>
      <c r="C41" s="78"/>
      <c r="D41" s="79"/>
      <c r="E41" s="7"/>
      <c r="F41" s="7"/>
      <c r="G41" s="7"/>
      <c r="H41" s="7"/>
      <c r="I41" s="7"/>
    </row>
    <row r="42">
      <c r="A42" s="80"/>
      <c r="B42" s="80"/>
      <c r="C42" s="81" t="s">
        <v>65</v>
      </c>
      <c r="D42" s="67">
        <f>SUM(P2:P34)</f>
        <v>54009.59</v>
      </c>
      <c r="E42" s="7"/>
      <c r="F42" s="7"/>
      <c r="G42" s="7"/>
      <c r="H42" s="7"/>
      <c r="I42" s="7"/>
    </row>
    <row r="49">
      <c r="A49" s="85" t="s">
        <v>0</v>
      </c>
      <c r="B49" s="85" t="s">
        <v>1</v>
      </c>
      <c r="C49" s="85" t="s">
        <v>11</v>
      </c>
      <c r="D49" s="85" t="s">
        <v>3</v>
      </c>
      <c r="E49" s="85" t="s">
        <v>4</v>
      </c>
      <c r="F49" s="85" t="s">
        <v>5</v>
      </c>
      <c r="G49" s="85" t="s">
        <v>12</v>
      </c>
    </row>
    <row r="50">
      <c r="A50" s="29" t="s">
        <v>14</v>
      </c>
      <c r="B50" s="31">
        <v>46143.0</v>
      </c>
      <c r="C50" s="41" t="s">
        <v>29</v>
      </c>
      <c r="D50" s="42" t="s">
        <v>18</v>
      </c>
      <c r="E50" s="42" t="s">
        <v>68</v>
      </c>
      <c r="F50" s="42" t="s">
        <v>19</v>
      </c>
      <c r="G50" s="55">
        <v>11.0</v>
      </c>
    </row>
    <row r="51">
      <c r="A51" s="29" t="s">
        <v>15</v>
      </c>
      <c r="B51" s="31">
        <v>46144.0</v>
      </c>
      <c r="C51" s="41" t="s">
        <v>29</v>
      </c>
      <c r="D51" s="42" t="s">
        <v>18</v>
      </c>
      <c r="E51" s="55" t="s">
        <v>19</v>
      </c>
      <c r="F51" s="42" t="s">
        <v>69</v>
      </c>
      <c r="G51" s="55">
        <v>11.0</v>
      </c>
    </row>
    <row r="52">
      <c r="A52" s="29" t="s">
        <v>22</v>
      </c>
      <c r="B52" s="31">
        <v>46145.0</v>
      </c>
      <c r="C52" s="41" t="s">
        <v>29</v>
      </c>
      <c r="D52" s="42" t="s">
        <v>18</v>
      </c>
      <c r="E52" s="55" t="s">
        <v>19</v>
      </c>
      <c r="F52" s="42" t="s">
        <v>69</v>
      </c>
      <c r="G52" s="55">
        <v>8.0</v>
      </c>
    </row>
    <row r="53">
      <c r="A53" s="29" t="s">
        <v>13</v>
      </c>
      <c r="B53" s="31">
        <v>46146.0</v>
      </c>
      <c r="C53" s="55" t="s">
        <v>19</v>
      </c>
      <c r="D53" s="42" t="s">
        <v>18</v>
      </c>
      <c r="E53" s="42" t="s">
        <v>69</v>
      </c>
      <c r="F53" s="42" t="s">
        <v>70</v>
      </c>
      <c r="G53" s="55">
        <v>10.0</v>
      </c>
    </row>
    <row r="54">
      <c r="A54" s="29" t="s">
        <v>21</v>
      </c>
      <c r="B54" s="31">
        <v>46147.0</v>
      </c>
      <c r="C54" s="55" t="s">
        <v>19</v>
      </c>
      <c r="D54" s="42" t="s">
        <v>18</v>
      </c>
      <c r="E54" s="42" t="s">
        <v>25</v>
      </c>
      <c r="F54" s="42" t="s">
        <v>68</v>
      </c>
      <c r="G54" s="55">
        <v>10.0</v>
      </c>
      <c r="H54" s="68"/>
    </row>
    <row r="55">
      <c r="A55" s="29" t="s">
        <v>24</v>
      </c>
      <c r="B55" s="31">
        <v>46148.0</v>
      </c>
      <c r="C55" s="55" t="s">
        <v>19</v>
      </c>
      <c r="D55" s="42" t="s">
        <v>18</v>
      </c>
      <c r="E55" s="42" t="s">
        <v>25</v>
      </c>
      <c r="F55" s="42" t="s">
        <v>68</v>
      </c>
      <c r="G55" s="55">
        <v>10.0</v>
      </c>
      <c r="H55" s="68"/>
    </row>
    <row r="56">
      <c r="A56" s="29" t="s">
        <v>26</v>
      </c>
      <c r="B56" s="31">
        <v>46149.0</v>
      </c>
      <c r="C56" s="42" t="s">
        <v>19</v>
      </c>
      <c r="D56" s="42" t="s">
        <v>68</v>
      </c>
      <c r="E56" s="42" t="s">
        <v>25</v>
      </c>
      <c r="F56" s="42" t="s">
        <v>70</v>
      </c>
      <c r="G56" s="55">
        <v>10.0</v>
      </c>
      <c r="H56" s="68"/>
    </row>
    <row r="57">
      <c r="A57" s="29" t="s">
        <v>14</v>
      </c>
      <c r="B57" s="31">
        <v>46150.0</v>
      </c>
      <c r="C57" s="41" t="s">
        <v>29</v>
      </c>
      <c r="D57" s="42" t="s">
        <v>17</v>
      </c>
      <c r="E57" s="42" t="s">
        <v>19</v>
      </c>
      <c r="F57" s="44" t="s">
        <v>18</v>
      </c>
      <c r="G57" s="55">
        <v>11.0</v>
      </c>
      <c r="H57" s="68"/>
    </row>
    <row r="58">
      <c r="A58" s="29" t="s">
        <v>15</v>
      </c>
      <c r="B58" s="31">
        <v>46151.0</v>
      </c>
      <c r="C58" s="41" t="s">
        <v>29</v>
      </c>
      <c r="D58" s="42" t="s">
        <v>17</v>
      </c>
      <c r="E58" s="42" t="s">
        <v>19</v>
      </c>
      <c r="F58" s="42" t="s">
        <v>18</v>
      </c>
      <c r="G58" s="55">
        <v>11.0</v>
      </c>
      <c r="H58" s="93"/>
    </row>
    <row r="59">
      <c r="A59" s="29" t="s">
        <v>22</v>
      </c>
      <c r="B59" s="31">
        <v>46152.0</v>
      </c>
      <c r="C59" s="41" t="s">
        <v>29</v>
      </c>
      <c r="D59" s="42" t="s">
        <v>17</v>
      </c>
      <c r="E59" s="42" t="s">
        <v>19</v>
      </c>
      <c r="F59" s="42" t="s">
        <v>18</v>
      </c>
      <c r="G59" s="55">
        <v>8.0</v>
      </c>
      <c r="H59" s="68"/>
    </row>
    <row r="60">
      <c r="A60" s="29" t="s">
        <v>13</v>
      </c>
      <c r="B60" s="31">
        <v>46153.0</v>
      </c>
      <c r="C60" s="41" t="s">
        <v>29</v>
      </c>
      <c r="D60" s="42" t="s">
        <v>17</v>
      </c>
      <c r="E60" s="42" t="s">
        <v>25</v>
      </c>
      <c r="F60" s="42" t="s">
        <v>18</v>
      </c>
      <c r="G60" s="55">
        <v>10.0</v>
      </c>
      <c r="H60" s="68"/>
    </row>
    <row r="61">
      <c r="A61" s="29" t="s">
        <v>21</v>
      </c>
      <c r="B61" s="31">
        <v>46154.0</v>
      </c>
      <c r="C61" s="41" t="s">
        <v>29</v>
      </c>
      <c r="D61" s="42" t="s">
        <v>18</v>
      </c>
      <c r="E61" s="44" t="s">
        <v>68</v>
      </c>
      <c r="F61" s="42" t="s">
        <v>69</v>
      </c>
      <c r="G61" s="55">
        <v>10.0</v>
      </c>
      <c r="H61" s="68"/>
    </row>
    <row r="62">
      <c r="A62" s="29" t="s">
        <v>24</v>
      </c>
      <c r="B62" s="31">
        <v>46155.0</v>
      </c>
      <c r="C62" s="41" t="s">
        <v>29</v>
      </c>
      <c r="D62" s="42" t="s">
        <v>17</v>
      </c>
      <c r="E62" s="42" t="s">
        <v>25</v>
      </c>
      <c r="F62" s="42" t="s">
        <v>18</v>
      </c>
      <c r="G62" s="55">
        <v>10.0</v>
      </c>
      <c r="H62" s="68"/>
      <c r="J62" s="40"/>
      <c r="K62" s="95"/>
      <c r="L62" s="97"/>
      <c r="M62" s="98"/>
      <c r="N62" s="98"/>
      <c r="O62" s="98"/>
    </row>
    <row r="63">
      <c r="A63" s="29" t="s">
        <v>26</v>
      </c>
      <c r="B63" s="31">
        <v>46156.0</v>
      </c>
      <c r="C63" s="41" t="s">
        <v>29</v>
      </c>
      <c r="D63" s="42" t="s">
        <v>18</v>
      </c>
      <c r="E63" s="42" t="s">
        <v>25</v>
      </c>
      <c r="F63" s="44" t="s">
        <v>70</v>
      </c>
      <c r="G63" s="55">
        <v>10.0</v>
      </c>
      <c r="H63" s="68"/>
      <c r="J63" s="40"/>
      <c r="K63" s="95"/>
      <c r="L63" s="97"/>
      <c r="M63" s="98"/>
      <c r="N63" s="98"/>
      <c r="O63" s="98"/>
    </row>
    <row r="64">
      <c r="A64" s="29" t="s">
        <v>14</v>
      </c>
      <c r="B64" s="31">
        <v>46157.0</v>
      </c>
      <c r="C64" s="41" t="s">
        <v>29</v>
      </c>
      <c r="D64" s="42" t="s">
        <v>17</v>
      </c>
      <c r="E64" s="44" t="s">
        <v>70</v>
      </c>
      <c r="F64" s="55" t="s">
        <v>18</v>
      </c>
      <c r="G64" s="55">
        <v>11.0</v>
      </c>
      <c r="H64" s="101"/>
      <c r="J64" s="40"/>
      <c r="K64" s="95"/>
      <c r="L64" s="97"/>
      <c r="M64" s="98"/>
      <c r="N64" s="98"/>
      <c r="O64" s="98"/>
    </row>
    <row r="65">
      <c r="A65" s="29" t="s">
        <v>15</v>
      </c>
      <c r="B65" s="31">
        <v>46158.0</v>
      </c>
      <c r="C65" s="41" t="s">
        <v>29</v>
      </c>
      <c r="D65" s="42" t="s">
        <v>17</v>
      </c>
      <c r="E65" s="55" t="s">
        <v>69</v>
      </c>
      <c r="F65" s="42" t="s">
        <v>18</v>
      </c>
      <c r="G65" s="55">
        <v>11.0</v>
      </c>
      <c r="H65" s="101"/>
      <c r="J65" s="40"/>
      <c r="K65" s="95"/>
      <c r="L65" s="97"/>
      <c r="M65" s="98"/>
      <c r="N65" s="98"/>
      <c r="O65" s="98"/>
    </row>
    <row r="66">
      <c r="A66" s="29" t="s">
        <v>22</v>
      </c>
      <c r="B66" s="31">
        <v>46159.0</v>
      </c>
      <c r="C66" s="41" t="s">
        <v>29</v>
      </c>
      <c r="D66" s="42" t="s">
        <v>17</v>
      </c>
      <c r="E66" s="55" t="s">
        <v>69</v>
      </c>
      <c r="F66" s="42" t="s">
        <v>18</v>
      </c>
      <c r="G66" s="55">
        <v>8.0</v>
      </c>
      <c r="H66" s="68"/>
      <c r="I66" s="104"/>
      <c r="J66" s="40"/>
      <c r="K66" s="95"/>
      <c r="L66" s="97"/>
      <c r="M66" s="98"/>
      <c r="N66" s="98"/>
      <c r="O66" s="98"/>
    </row>
    <row r="67">
      <c r="A67" s="29" t="s">
        <v>13</v>
      </c>
      <c r="B67" s="31">
        <v>46160.0</v>
      </c>
      <c r="C67" s="41" t="s">
        <v>19</v>
      </c>
      <c r="D67" s="42" t="s">
        <v>17</v>
      </c>
      <c r="E67" s="42"/>
      <c r="F67" s="42" t="s">
        <v>18</v>
      </c>
      <c r="G67" s="55">
        <v>10.0</v>
      </c>
      <c r="H67" s="68"/>
      <c r="J67" s="40"/>
      <c r="K67" s="95"/>
      <c r="L67" s="97"/>
      <c r="M67" s="98"/>
      <c r="N67" s="98"/>
      <c r="O67" s="98"/>
    </row>
    <row r="68">
      <c r="A68" s="29" t="s">
        <v>21</v>
      </c>
      <c r="B68" s="31">
        <v>46161.0</v>
      </c>
      <c r="C68" s="41" t="s">
        <v>19</v>
      </c>
      <c r="D68" s="42" t="s">
        <v>17</v>
      </c>
      <c r="E68" s="42" t="s">
        <v>25</v>
      </c>
      <c r="F68" s="42" t="s">
        <v>18</v>
      </c>
      <c r="G68" s="55">
        <v>10.0</v>
      </c>
      <c r="H68" s="68"/>
      <c r="J68" s="40"/>
      <c r="K68" s="95"/>
      <c r="L68" s="97"/>
      <c r="M68" s="98"/>
      <c r="N68" s="98"/>
      <c r="O68" s="98"/>
    </row>
    <row r="69">
      <c r="A69" s="29" t="s">
        <v>24</v>
      </c>
      <c r="B69" s="31">
        <v>46162.0</v>
      </c>
      <c r="C69" s="41" t="s">
        <v>19</v>
      </c>
      <c r="D69" s="42" t="s">
        <v>17</v>
      </c>
      <c r="E69" s="42" t="s">
        <v>25</v>
      </c>
      <c r="F69" s="42" t="s">
        <v>18</v>
      </c>
      <c r="G69" s="55">
        <v>10.0</v>
      </c>
      <c r="H69" s="68"/>
    </row>
    <row r="70">
      <c r="A70" s="29" t="s">
        <v>26</v>
      </c>
      <c r="B70" s="31">
        <v>46163.0</v>
      </c>
      <c r="C70" s="41" t="s">
        <v>29</v>
      </c>
      <c r="D70" s="42" t="s">
        <v>18</v>
      </c>
      <c r="E70" s="42" t="s">
        <v>25</v>
      </c>
      <c r="F70" s="42" t="s">
        <v>19</v>
      </c>
      <c r="G70" s="55">
        <v>10.0</v>
      </c>
      <c r="H70" s="68"/>
    </row>
    <row r="71">
      <c r="A71" s="29" t="s">
        <v>14</v>
      </c>
      <c r="B71" s="31">
        <v>46164.0</v>
      </c>
      <c r="C71" s="41" t="s">
        <v>29</v>
      </c>
      <c r="D71" s="42" t="s">
        <v>83</v>
      </c>
      <c r="E71" s="42" t="s">
        <v>19</v>
      </c>
      <c r="F71" s="42" t="s">
        <v>25</v>
      </c>
      <c r="G71" s="55">
        <v>11.0</v>
      </c>
      <c r="H71" s="68"/>
    </row>
    <row r="72">
      <c r="A72" s="29" t="s">
        <v>15</v>
      </c>
      <c r="B72" s="31">
        <v>46165.0</v>
      </c>
      <c r="C72" s="41" t="s">
        <v>29</v>
      </c>
      <c r="D72" s="42" t="s">
        <v>17</v>
      </c>
      <c r="E72" s="42" t="s">
        <v>19</v>
      </c>
      <c r="F72" s="42" t="s">
        <v>18</v>
      </c>
      <c r="G72" s="55">
        <v>11.0</v>
      </c>
      <c r="H72" s="93"/>
    </row>
    <row r="73">
      <c r="A73" s="29" t="s">
        <v>22</v>
      </c>
      <c r="B73" s="31">
        <v>46166.0</v>
      </c>
      <c r="C73" s="41" t="s">
        <v>29</v>
      </c>
      <c r="D73" s="42" t="s">
        <v>17</v>
      </c>
      <c r="E73" s="42" t="s">
        <v>19</v>
      </c>
      <c r="F73" s="42" t="s">
        <v>18</v>
      </c>
      <c r="G73" s="55">
        <v>8.0</v>
      </c>
      <c r="I73" s="101"/>
    </row>
    <row r="74">
      <c r="A74" s="29" t="s">
        <v>13</v>
      </c>
      <c r="B74" s="31">
        <v>46167.0</v>
      </c>
      <c r="C74" s="41" t="s">
        <v>29</v>
      </c>
      <c r="D74" s="42" t="s">
        <v>17</v>
      </c>
      <c r="E74" s="42" t="s">
        <v>19</v>
      </c>
      <c r="F74" s="42" t="s">
        <v>18</v>
      </c>
      <c r="G74" s="55">
        <v>10.0</v>
      </c>
      <c r="H74" s="68"/>
    </row>
    <row r="75">
      <c r="A75" s="29" t="s">
        <v>21</v>
      </c>
      <c r="B75" s="31">
        <v>46168.0</v>
      </c>
      <c r="C75" s="41" t="s">
        <v>29</v>
      </c>
      <c r="D75" s="42" t="s">
        <v>17</v>
      </c>
      <c r="E75" s="42" t="s">
        <v>25</v>
      </c>
      <c r="F75" s="42" t="s">
        <v>18</v>
      </c>
      <c r="G75" s="55">
        <v>10.0</v>
      </c>
      <c r="H75" s="68"/>
      <c r="I75" s="111"/>
      <c r="N75" s="98"/>
    </row>
    <row r="76">
      <c r="A76" s="29" t="s">
        <v>24</v>
      </c>
      <c r="B76" s="31">
        <v>46169.0</v>
      </c>
      <c r="C76" s="41" t="s">
        <v>19</v>
      </c>
      <c r="D76" s="42" t="s">
        <v>17</v>
      </c>
      <c r="E76" s="42" t="s">
        <v>25</v>
      </c>
      <c r="F76" s="42" t="s">
        <v>18</v>
      </c>
      <c r="G76" s="55">
        <v>10.0</v>
      </c>
      <c r="I76" s="111"/>
      <c r="N76" s="98"/>
    </row>
    <row r="77">
      <c r="A77" s="29" t="s">
        <v>26</v>
      </c>
      <c r="B77" s="31">
        <v>46170.0</v>
      </c>
      <c r="C77" s="41" t="s">
        <v>29</v>
      </c>
      <c r="D77" s="42" t="s">
        <v>17</v>
      </c>
      <c r="E77" s="42" t="s">
        <v>25</v>
      </c>
      <c r="F77" s="42" t="s">
        <v>19</v>
      </c>
      <c r="G77" s="55">
        <v>10.0</v>
      </c>
      <c r="I77" s="111"/>
      <c r="N77" s="98"/>
    </row>
    <row r="78">
      <c r="A78" s="29" t="s">
        <v>14</v>
      </c>
      <c r="B78" s="31">
        <v>46171.0</v>
      </c>
      <c r="C78" s="41" t="s">
        <v>29</v>
      </c>
      <c r="D78" s="42" t="s">
        <v>17</v>
      </c>
      <c r="E78" s="42" t="s">
        <v>19</v>
      </c>
      <c r="F78" s="42" t="s">
        <v>18</v>
      </c>
      <c r="G78" s="55">
        <v>11.0</v>
      </c>
      <c r="I78" s="111"/>
      <c r="N78" s="98"/>
    </row>
    <row r="79">
      <c r="A79" s="29" t="s">
        <v>15</v>
      </c>
      <c r="B79" s="31">
        <v>46172.0</v>
      </c>
      <c r="C79" s="41" t="s">
        <v>29</v>
      </c>
      <c r="D79" s="42" t="s">
        <v>17</v>
      </c>
      <c r="E79" s="42" t="s">
        <v>19</v>
      </c>
      <c r="F79" s="42" t="s">
        <v>18</v>
      </c>
      <c r="G79" s="55">
        <v>11.0</v>
      </c>
      <c r="I79" s="111"/>
      <c r="N79" s="98"/>
    </row>
    <row r="80">
      <c r="A80" s="29" t="s">
        <v>22</v>
      </c>
      <c r="B80" s="31">
        <v>46173.0</v>
      </c>
      <c r="C80" s="41" t="s">
        <v>29</v>
      </c>
      <c r="D80" s="42" t="s">
        <v>17</v>
      </c>
      <c r="E80" s="42" t="s">
        <v>19</v>
      </c>
      <c r="F80" s="42" t="s">
        <v>18</v>
      </c>
      <c r="G80" s="55">
        <v>8.0</v>
      </c>
      <c r="I80" s="111"/>
      <c r="N80" s="98"/>
    </row>
    <row r="81">
      <c r="A81" s="70"/>
      <c r="B81" s="70"/>
      <c r="C81" s="70"/>
      <c r="D81" s="70"/>
      <c r="E81" s="70"/>
      <c r="F81" s="70"/>
      <c r="G81" s="70"/>
    </row>
    <row r="82">
      <c r="A82" s="70"/>
      <c r="B82" s="70"/>
      <c r="C82" s="70"/>
      <c r="D82" s="70"/>
      <c r="E82" s="70"/>
      <c r="F82" s="70"/>
      <c r="G82" s="70"/>
    </row>
    <row r="83">
      <c r="A83" s="70"/>
      <c r="B83" s="70"/>
      <c r="C83" s="70">
        <f>IFERROR(__xludf.DUMMYFUNCTION("SUM(ARRAYFORMULA(IFERROR(VALUE(REGEXREPLACE(C50:C80,""[^\d]"","""")),0)))"),0.0)</f>
        <v>0</v>
      </c>
      <c r="D83" s="70">
        <f>IFERROR(__xludf.DUMMYFUNCTION("SUM(ARRAYFORMULA(IFERROR(VALUE(REGEXREPLACE(D50:D80,""[^\d]"","""")),0)))"),0.0)</f>
        <v>0</v>
      </c>
      <c r="E83" s="70">
        <f>IFERROR(__xludf.DUMMYFUNCTION("SUM(ARRAYFORMULA(IFERROR(VALUE(REGEXREPLACE(E50:E80,""[^\d]"","""")),0)))"),0.0)</f>
        <v>0</v>
      </c>
      <c r="F83" s="70">
        <f>IFERROR(__xludf.DUMMYFUNCTION("SUM(ARRAYFORMULA(IFERROR(VALUE(REGEXREPLACE(F50:F80,""[^\d]"","""")),0)))"),0.0)</f>
        <v>0</v>
      </c>
      <c r="G83" s="70">
        <f>SUM(G50:G80)</f>
        <v>310</v>
      </c>
    </row>
    <row r="85">
      <c r="A85" s="124" t="s">
        <v>92</v>
      </c>
      <c r="B85" s="125">
        <f>SUM(C83+D83+E83+F83)</f>
        <v>0</v>
      </c>
    </row>
    <row r="88">
      <c r="A88" s="126" t="s">
        <v>93</v>
      </c>
      <c r="B88" s="126" t="s">
        <v>79</v>
      </c>
      <c r="C88" s="126" t="s">
        <v>12</v>
      </c>
      <c r="D88" s="127" t="s">
        <v>94</v>
      </c>
      <c r="E88" s="127" t="s">
        <v>95</v>
      </c>
      <c r="F88" s="126" t="s">
        <v>96</v>
      </c>
      <c r="G88" s="126" t="s">
        <v>98</v>
      </c>
      <c r="H88" s="129" t="s">
        <v>99</v>
      </c>
    </row>
    <row r="89">
      <c r="A89" s="130" t="s">
        <v>100</v>
      </c>
      <c r="B89" s="55" t="s">
        <v>101</v>
      </c>
      <c r="C89" s="120">
        <f>SUMPRODUCT((D50:G80="Siri")*G50:G80)</f>
        <v>290</v>
      </c>
      <c r="D89" s="55">
        <v>2000.0</v>
      </c>
      <c r="E89" s="55">
        <v>754.0</v>
      </c>
      <c r="F89" s="132">
        <v>46146.0</v>
      </c>
      <c r="G89" s="133">
        <v>2471.63</v>
      </c>
      <c r="H89" s="134" t="s">
        <v>106</v>
      </c>
      <c r="I89" s="135" t="s">
        <v>107</v>
      </c>
    </row>
    <row r="90">
      <c r="A90" s="55"/>
      <c r="B90" s="55" t="s">
        <v>108</v>
      </c>
      <c r="C90" s="120">
        <f>SUMPRODUCT((C50:C80="sam")*G50:G80)</f>
        <v>230</v>
      </c>
      <c r="D90" s="120"/>
      <c r="E90" s="136">
        <v>1655.0</v>
      </c>
      <c r="F90" s="132">
        <v>46157.0</v>
      </c>
      <c r="G90" s="137">
        <v>1074.3</v>
      </c>
      <c r="H90" s="139" t="s">
        <v>109</v>
      </c>
    </row>
    <row r="91">
      <c r="A91" s="140" t="s">
        <v>110</v>
      </c>
      <c r="B91" s="55" t="s">
        <v>111</v>
      </c>
      <c r="C91" s="120">
        <f>SUMPRODUCT((C50:F80="Dan")*G50:G80)</f>
        <v>230</v>
      </c>
      <c r="D91" s="55">
        <v>1000.0</v>
      </c>
      <c r="E91" s="55">
        <v>2300.0</v>
      </c>
      <c r="F91" s="132">
        <v>46168.0</v>
      </c>
      <c r="G91" s="133">
        <v>1592.99</v>
      </c>
      <c r="H91" s="143" t="s">
        <v>117</v>
      </c>
    </row>
    <row r="92">
      <c r="A92" s="55" t="s">
        <v>118</v>
      </c>
      <c r="B92" s="55" t="s">
        <v>119</v>
      </c>
      <c r="C92" s="120">
        <f>SUMPRODUCT((D50:F80="Sumanth")*G50:G80)</f>
        <v>131</v>
      </c>
      <c r="D92" s="120">
        <f t="shared" ref="D92:D94" si="11">C92*10</f>
        <v>1310</v>
      </c>
      <c r="E92" s="120"/>
      <c r="F92" s="132">
        <v>46171.0</v>
      </c>
      <c r="G92" s="148" t="s">
        <v>126</v>
      </c>
      <c r="H92" s="150"/>
    </row>
    <row r="93">
      <c r="A93" s="151" t="s">
        <v>118</v>
      </c>
      <c r="B93" s="151" t="s">
        <v>127</v>
      </c>
      <c r="C93" s="120">
        <f>SUMPRODUCT((D50:G80="Vashnavi")*G50:G80)</f>
        <v>51</v>
      </c>
      <c r="D93" s="120">
        <f t="shared" si="11"/>
        <v>510</v>
      </c>
      <c r="E93" s="120"/>
      <c r="F93" s="120"/>
      <c r="G93" s="120"/>
      <c r="H93" s="150"/>
    </row>
    <row r="94">
      <c r="A94" s="55" t="s">
        <v>118</v>
      </c>
      <c r="B94" s="55" t="s">
        <v>129</v>
      </c>
      <c r="C94" s="120">
        <f>SUMPRODUCT((D50:G80="Vasuki")*G50:G80)</f>
        <v>58</v>
      </c>
      <c r="D94" s="120">
        <f t="shared" si="11"/>
        <v>580</v>
      </c>
      <c r="E94" s="120"/>
      <c r="F94" s="120"/>
      <c r="G94" s="120"/>
      <c r="H94" s="150"/>
    </row>
    <row r="95">
      <c r="A95" s="120"/>
      <c r="B95" s="55" t="s">
        <v>132</v>
      </c>
      <c r="C95" s="120">
        <f>SUMPRODUCT((D50:G80="Nirjala")*G50:G80)</f>
        <v>199</v>
      </c>
      <c r="D95" s="55">
        <v>1800.0</v>
      </c>
      <c r="E95" s="120"/>
      <c r="F95" s="120"/>
      <c r="G95" s="120"/>
      <c r="H95" s="143" t="s">
        <v>134</v>
      </c>
    </row>
    <row r="96">
      <c r="A96" s="120"/>
      <c r="B96" s="159" t="s">
        <v>86</v>
      </c>
      <c r="C96" s="120"/>
      <c r="D96" s="55">
        <v>128.0</v>
      </c>
      <c r="E96" s="120"/>
      <c r="F96" s="120"/>
      <c r="G96" s="120"/>
      <c r="H96" s="150"/>
    </row>
    <row r="97">
      <c r="A97" s="55"/>
      <c r="B97" s="162" t="s">
        <v>135</v>
      </c>
      <c r="C97" s="120"/>
      <c r="D97" s="163">
        <v>110.0</v>
      </c>
      <c r="E97" s="120"/>
      <c r="F97" s="120"/>
      <c r="G97" s="120"/>
      <c r="H97" s="150"/>
    </row>
    <row r="98">
      <c r="A98" s="55"/>
      <c r="B98" s="55"/>
      <c r="C98" s="120"/>
      <c r="D98" s="163"/>
      <c r="E98" s="120"/>
      <c r="F98" s="120"/>
      <c r="G98" s="120"/>
      <c r="H98" s="150"/>
    </row>
    <row r="99">
      <c r="A99" s="55"/>
      <c r="B99" s="55"/>
      <c r="C99" s="120"/>
      <c r="D99" s="163"/>
      <c r="E99" s="120"/>
      <c r="F99" s="120"/>
      <c r="G99" s="120"/>
      <c r="H99" s="150"/>
    </row>
    <row r="100">
      <c r="A100" s="55"/>
      <c r="B100" s="55"/>
      <c r="C100" s="120"/>
      <c r="D100" s="163"/>
      <c r="E100" s="120"/>
      <c r="F100" s="120"/>
      <c r="G100" s="120"/>
      <c r="H100" s="150"/>
    </row>
    <row r="101">
      <c r="A101" s="120"/>
      <c r="B101" s="120"/>
      <c r="C101" s="120"/>
      <c r="D101" s="120"/>
      <c r="E101" s="120"/>
      <c r="F101" s="120"/>
      <c r="G101" s="120"/>
      <c r="H101" s="150"/>
    </row>
    <row r="102">
      <c r="H102" s="164"/>
    </row>
    <row r="103">
      <c r="H103" s="165" t="s">
        <v>136</v>
      </c>
    </row>
    <row r="104">
      <c r="A104" s="166"/>
      <c r="B104" s="166"/>
      <c r="C104" s="167" t="s">
        <v>137</v>
      </c>
      <c r="D104" s="168">
        <f t="shared" ref="D104:E104" si="12">SUM(D89:D103)</f>
        <v>7438</v>
      </c>
      <c r="E104" s="168">
        <f t="shared" si="12"/>
        <v>4709</v>
      </c>
      <c r="G104" s="168">
        <f>SUM(G89:G103)</f>
        <v>5138.92</v>
      </c>
      <c r="H104" s="170">
        <v>7070.0</v>
      </c>
    </row>
    <row r="106">
      <c r="C106" s="171" t="s">
        <v>139</v>
      </c>
      <c r="D106" s="173">
        <f>SUM(D104:E104)</f>
        <v>12147</v>
      </c>
      <c r="F106" s="175" t="s">
        <v>140</v>
      </c>
      <c r="G106" s="168">
        <f>SUM(D104:E104:G104)</f>
        <v>17285.92</v>
      </c>
    </row>
    <row r="117">
      <c r="A117" s="182">
        <v>46234.0</v>
      </c>
    </row>
    <row r="119">
      <c r="A119" s="183">
        <v>46234.0</v>
      </c>
      <c r="B119" s="44" t="s">
        <v>142</v>
      </c>
      <c r="C119" s="44" t="s">
        <v>143</v>
      </c>
      <c r="D119" s="44" t="s">
        <v>144</v>
      </c>
      <c r="E119" s="44" t="s">
        <v>145</v>
      </c>
      <c r="G119" s="44" t="s">
        <v>146</v>
      </c>
      <c r="H119" s="184">
        <v>645.47</v>
      </c>
    </row>
    <row r="120">
      <c r="A120" s="44" t="s">
        <v>2</v>
      </c>
      <c r="B120" s="44" t="s">
        <v>29</v>
      </c>
      <c r="C120" s="184">
        <v>245.67</v>
      </c>
      <c r="D120" s="184">
        <v>1387.0</v>
      </c>
      <c r="E120" s="184">
        <v>1632.67</v>
      </c>
      <c r="G120" s="44" t="s">
        <v>147</v>
      </c>
      <c r="H120" s="184">
        <v>3142.61</v>
      </c>
    </row>
    <row r="121">
      <c r="A121" s="44" t="s">
        <v>3</v>
      </c>
      <c r="B121" s="44" t="s">
        <v>17</v>
      </c>
      <c r="C121" s="184">
        <v>57.89</v>
      </c>
      <c r="D121" s="184">
        <v>324.77</v>
      </c>
      <c r="E121" s="184">
        <v>382.65999999999997</v>
      </c>
      <c r="I121" s="44" t="s">
        <v>148</v>
      </c>
      <c r="J121" s="122">
        <v>816.6100000000006</v>
      </c>
    </row>
    <row r="122">
      <c r="A122" s="44" t="s">
        <v>4</v>
      </c>
      <c r="B122" s="184" t="s">
        <v>19</v>
      </c>
      <c r="C122" s="184">
        <v>43.3</v>
      </c>
      <c r="D122" s="184">
        <v>370.77</v>
      </c>
      <c r="E122" s="184">
        <v>414.07</v>
      </c>
      <c r="G122" s="44" t="s">
        <v>149</v>
      </c>
      <c r="H122" s="184">
        <v>12963.61</v>
      </c>
    </row>
    <row r="123">
      <c r="A123" s="184" t="s">
        <v>5</v>
      </c>
      <c r="B123" s="184" t="s">
        <v>18</v>
      </c>
      <c r="C123" s="184">
        <v>298.61</v>
      </c>
      <c r="D123" s="184">
        <v>414.6</v>
      </c>
      <c r="E123" s="184">
        <v>713.21</v>
      </c>
      <c r="G123" s="44" t="s">
        <v>150</v>
      </c>
      <c r="H123" s="184">
        <v>50866.98</v>
      </c>
    </row>
    <row r="124">
      <c r="A124" s="44"/>
      <c r="B124" s="184"/>
    </row>
    <row r="127">
      <c r="A127" s="44" t="s">
        <v>151</v>
      </c>
      <c r="B127" s="44" t="s">
        <v>152</v>
      </c>
      <c r="C127" s="44" t="s">
        <v>153</v>
      </c>
      <c r="E127" s="44" t="s">
        <v>155</v>
      </c>
    </row>
    <row r="128">
      <c r="A128" s="44" t="s">
        <v>156</v>
      </c>
      <c r="B128" s="44" t="s">
        <v>18</v>
      </c>
      <c r="C128" s="44" t="s">
        <v>157</v>
      </c>
      <c r="E128" s="186" t="s">
        <v>158</v>
      </c>
    </row>
    <row r="129">
      <c r="A129" s="182">
        <v>46159.0</v>
      </c>
      <c r="B129" s="44" t="s">
        <v>159</v>
      </c>
      <c r="C129" s="44" t="s">
        <v>160</v>
      </c>
      <c r="E129" s="44">
        <v>1655.0</v>
      </c>
    </row>
    <row r="130">
      <c r="A130" s="182">
        <v>46155.0</v>
      </c>
      <c r="B130" s="44" t="s">
        <v>25</v>
      </c>
      <c r="C130" s="44" t="s">
        <v>161</v>
      </c>
      <c r="E130" s="44" t="s">
        <v>162</v>
      </c>
    </row>
    <row r="131">
      <c r="A131" s="182">
        <v>46154.0</v>
      </c>
      <c r="B131" s="44" t="s">
        <v>19</v>
      </c>
      <c r="C131" s="44" t="s">
        <v>163</v>
      </c>
      <c r="E131" s="44" t="s">
        <v>165</v>
      </c>
      <c r="I131" s="44"/>
    </row>
    <row r="132">
      <c r="A132" s="182">
        <v>46170.0</v>
      </c>
      <c r="B132" s="44" t="s">
        <v>166</v>
      </c>
      <c r="C132" s="44" t="s">
        <v>167</v>
      </c>
      <c r="E132" s="44">
        <v>510.0</v>
      </c>
      <c r="I132" s="44"/>
    </row>
    <row r="133">
      <c r="A133" s="44"/>
      <c r="B133" s="44" t="s">
        <v>69</v>
      </c>
      <c r="C133" s="44"/>
      <c r="E133" s="44">
        <v>580.0</v>
      </c>
      <c r="I133" s="44"/>
    </row>
    <row r="134">
      <c r="A134" s="182">
        <v>46155.0</v>
      </c>
      <c r="B134" s="44" t="s">
        <v>17</v>
      </c>
      <c r="C134" s="44" t="s">
        <v>168</v>
      </c>
      <c r="E134" s="44" t="s">
        <v>169</v>
      </c>
      <c r="I134" s="44"/>
    </row>
    <row r="135">
      <c r="A135" s="44"/>
      <c r="B135" s="44"/>
      <c r="C135" s="44"/>
      <c r="E135" s="44"/>
      <c r="I135" s="44"/>
    </row>
    <row r="136">
      <c r="A136" s="44" t="s">
        <v>170</v>
      </c>
      <c r="B136" s="44" t="s">
        <v>171</v>
      </c>
      <c r="C136" s="44" t="s">
        <v>172</v>
      </c>
      <c r="E136" s="44" t="s">
        <v>173</v>
      </c>
      <c r="I136" s="44"/>
    </row>
    <row r="137">
      <c r="A137" s="182">
        <v>46168.0</v>
      </c>
      <c r="B137" s="44" t="s">
        <v>86</v>
      </c>
      <c r="C137" s="44" t="s">
        <v>174</v>
      </c>
      <c r="E137" s="44" t="s">
        <v>175</v>
      </c>
      <c r="I137" s="44"/>
    </row>
    <row r="138">
      <c r="A138" s="44"/>
      <c r="B138" s="182"/>
      <c r="C138" s="44"/>
      <c r="E138" s="44"/>
      <c r="I138" s="44"/>
    </row>
    <row r="139">
      <c r="A139" s="191"/>
      <c r="B139" s="191"/>
      <c r="C139" s="191"/>
      <c r="D139" s="191"/>
    </row>
    <row r="140">
      <c r="A140" s="44" t="s">
        <v>176</v>
      </c>
      <c r="D140" s="44"/>
      <c r="E140" s="44">
        <v>12147.0</v>
      </c>
    </row>
  </sheetData>
  <mergeCells count="7">
    <mergeCell ref="A1:D1"/>
    <mergeCell ref="A2:A3"/>
    <mergeCell ref="B2:B3"/>
    <mergeCell ref="C2:E2"/>
    <mergeCell ref="F2:H2"/>
    <mergeCell ref="I2:K2"/>
    <mergeCell ref="L2:N2"/>
  </mergeCells>
  <hyperlinks>
    <hyperlink r:id="rId1" ref="G89"/>
    <hyperlink r:id="rId2" ref="G90"/>
    <hyperlink r:id="rId3" ref="G91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2.75"/>
    <col customWidth="1" min="5" max="5" width="18.25"/>
    <col customWidth="1" min="6" max="6" width="12.0"/>
    <col customWidth="1" min="10" max="10" width="12.88"/>
    <col customWidth="1" min="15" max="15" width="21.38"/>
    <col customWidth="1" min="17" max="17" width="21.88"/>
  </cols>
  <sheetData>
    <row r="1">
      <c r="A1" s="212">
        <v>46113.0</v>
      </c>
      <c r="B1" s="4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>
      <c r="A2" s="213" t="s">
        <v>0</v>
      </c>
      <c r="B2" s="214" t="s">
        <v>1</v>
      </c>
      <c r="C2" s="15" t="s">
        <v>2</v>
      </c>
      <c r="D2" s="4"/>
      <c r="E2" s="6"/>
      <c r="F2" s="19" t="s">
        <v>3</v>
      </c>
      <c r="G2" s="4"/>
      <c r="H2" s="6"/>
      <c r="I2" s="21" t="s">
        <v>4</v>
      </c>
      <c r="J2" s="4"/>
      <c r="K2" s="6"/>
      <c r="L2" s="24" t="s">
        <v>5</v>
      </c>
      <c r="M2" s="4"/>
      <c r="N2" s="6"/>
      <c r="O2" s="7"/>
      <c r="P2" s="7"/>
    </row>
    <row r="3">
      <c r="A3" s="16"/>
      <c r="B3" s="16"/>
      <c r="C3" s="27" t="s">
        <v>8</v>
      </c>
      <c r="D3" s="27" t="s">
        <v>9</v>
      </c>
      <c r="E3" s="27" t="s">
        <v>10</v>
      </c>
      <c r="F3" s="28" t="s">
        <v>8</v>
      </c>
      <c r="G3" s="28" t="s">
        <v>9</v>
      </c>
      <c r="H3" s="28" t="s">
        <v>10</v>
      </c>
      <c r="I3" s="30" t="s">
        <v>8</v>
      </c>
      <c r="J3" s="30" t="s">
        <v>9</v>
      </c>
      <c r="K3" s="30" t="s">
        <v>10</v>
      </c>
      <c r="L3" s="32" t="s">
        <v>8</v>
      </c>
      <c r="M3" s="32" t="s">
        <v>9</v>
      </c>
      <c r="N3" s="32" t="s">
        <v>10</v>
      </c>
      <c r="O3" s="7"/>
      <c r="P3" s="26" t="s">
        <v>6</v>
      </c>
    </row>
    <row r="4">
      <c r="A4" s="29" t="s">
        <v>24</v>
      </c>
      <c r="B4" s="31">
        <v>46113.0</v>
      </c>
      <c r="C4" s="33">
        <v>0.0</v>
      </c>
      <c r="D4" s="33">
        <v>27.06</v>
      </c>
      <c r="E4" s="36">
        <f t="shared" ref="E4:E34" si="1">C4+D4</f>
        <v>27.06</v>
      </c>
      <c r="F4" s="33">
        <v>20.0</v>
      </c>
      <c r="G4" s="33">
        <v>215.15</v>
      </c>
      <c r="H4" s="37">
        <f t="shared" ref="H4:H34" si="2">F4+G4</f>
        <v>235.15</v>
      </c>
      <c r="I4" s="33">
        <v>60.0</v>
      </c>
      <c r="J4" s="33">
        <v>48.71</v>
      </c>
      <c r="K4" s="37">
        <f t="shared" ref="K4:K34" si="3">I4+J4</f>
        <v>108.71</v>
      </c>
      <c r="L4" s="33">
        <v>70.0</v>
      </c>
      <c r="M4" s="33">
        <v>151.55</v>
      </c>
      <c r="N4" s="37">
        <f t="shared" ref="N4:N9" si="4">L4+M4</f>
        <v>221.55</v>
      </c>
      <c r="O4" s="7"/>
      <c r="P4" s="39">
        <f t="shared" ref="P4:P34" si="5">SUM(E4+H4+K4+N4)</f>
        <v>592.47</v>
      </c>
    </row>
    <row r="5">
      <c r="A5" s="29" t="s">
        <v>26</v>
      </c>
      <c r="B5" s="31">
        <v>46114.0</v>
      </c>
      <c r="C5" s="33">
        <v>59.54</v>
      </c>
      <c r="D5" s="33">
        <v>407.42</v>
      </c>
      <c r="E5" s="37">
        <f t="shared" si="1"/>
        <v>466.96</v>
      </c>
      <c r="F5" s="33">
        <v>16.24</v>
      </c>
      <c r="G5" s="33">
        <v>21.65</v>
      </c>
      <c r="H5" s="37">
        <f t="shared" si="2"/>
        <v>37.89</v>
      </c>
      <c r="I5" s="33">
        <v>40.0</v>
      </c>
      <c r="J5" s="33">
        <v>70.36</v>
      </c>
      <c r="K5" s="37">
        <f t="shared" si="3"/>
        <v>110.36</v>
      </c>
      <c r="L5" s="33">
        <v>85.0</v>
      </c>
      <c r="M5" s="33">
        <v>362.64</v>
      </c>
      <c r="N5" s="37">
        <f t="shared" si="4"/>
        <v>447.64</v>
      </c>
      <c r="O5" s="7"/>
      <c r="P5" s="39">
        <f t="shared" si="5"/>
        <v>1062.85</v>
      </c>
    </row>
    <row r="6">
      <c r="A6" s="29" t="s">
        <v>14</v>
      </c>
      <c r="B6" s="31">
        <v>46115.0</v>
      </c>
      <c r="C6" s="33">
        <v>0.0</v>
      </c>
      <c r="D6" s="33">
        <v>539.61</v>
      </c>
      <c r="E6" s="37">
        <f t="shared" si="1"/>
        <v>539.61</v>
      </c>
      <c r="F6" s="33">
        <v>75.78</v>
      </c>
      <c r="G6" s="33">
        <v>376.47</v>
      </c>
      <c r="H6" s="37">
        <f t="shared" si="2"/>
        <v>452.25</v>
      </c>
      <c r="I6" s="33">
        <v>30.0</v>
      </c>
      <c r="J6" s="33">
        <v>86.58</v>
      </c>
      <c r="K6" s="37">
        <f t="shared" si="3"/>
        <v>116.58</v>
      </c>
      <c r="L6" s="33">
        <v>79.54</v>
      </c>
      <c r="M6" s="33">
        <v>139.38</v>
      </c>
      <c r="N6" s="37">
        <f t="shared" si="4"/>
        <v>218.92</v>
      </c>
      <c r="O6" s="7"/>
      <c r="P6" s="39">
        <f t="shared" si="5"/>
        <v>1327.36</v>
      </c>
    </row>
    <row r="7">
      <c r="A7" s="29" t="s">
        <v>15</v>
      </c>
      <c r="B7" s="31">
        <v>46116.0</v>
      </c>
      <c r="C7" s="33">
        <v>341.14</v>
      </c>
      <c r="D7" s="33">
        <v>604.44</v>
      </c>
      <c r="E7" s="37">
        <f t="shared" si="1"/>
        <v>945.58</v>
      </c>
      <c r="F7" s="33">
        <v>68.71</v>
      </c>
      <c r="G7" s="33">
        <v>266.4</v>
      </c>
      <c r="H7" s="37">
        <f t="shared" si="2"/>
        <v>335.11</v>
      </c>
      <c r="I7" s="33">
        <v>60.0</v>
      </c>
      <c r="J7" s="33">
        <v>176.19</v>
      </c>
      <c r="K7" s="37">
        <f t="shared" si="3"/>
        <v>236.19</v>
      </c>
      <c r="L7" s="33">
        <v>95.0</v>
      </c>
      <c r="M7" s="33">
        <v>178.62</v>
      </c>
      <c r="N7" s="37">
        <f t="shared" si="4"/>
        <v>273.62</v>
      </c>
      <c r="O7" s="7"/>
      <c r="P7" s="39">
        <f t="shared" si="5"/>
        <v>1790.5</v>
      </c>
    </row>
    <row r="8">
      <c r="A8" s="29" t="s">
        <v>22</v>
      </c>
      <c r="B8" s="31">
        <v>46117.0</v>
      </c>
      <c r="C8" s="33">
        <v>122.43</v>
      </c>
      <c r="D8" s="33">
        <v>387.28</v>
      </c>
      <c r="E8" s="37">
        <f t="shared" si="1"/>
        <v>509.71</v>
      </c>
      <c r="F8" s="33">
        <v>70.0</v>
      </c>
      <c r="G8" s="33">
        <v>325.57</v>
      </c>
      <c r="H8" s="37">
        <f t="shared" si="2"/>
        <v>395.57</v>
      </c>
      <c r="I8" s="33">
        <v>75.0</v>
      </c>
      <c r="J8" s="33">
        <v>150.2</v>
      </c>
      <c r="K8" s="37">
        <f t="shared" si="3"/>
        <v>225.2</v>
      </c>
      <c r="L8" s="33">
        <v>140.72</v>
      </c>
      <c r="M8" s="33">
        <v>562.92</v>
      </c>
      <c r="N8" s="37">
        <f t="shared" si="4"/>
        <v>703.64</v>
      </c>
      <c r="O8" s="7"/>
      <c r="P8" s="39">
        <f t="shared" si="5"/>
        <v>1834.12</v>
      </c>
    </row>
    <row r="9">
      <c r="A9" s="29" t="s">
        <v>13</v>
      </c>
      <c r="B9" s="31">
        <v>46118.0</v>
      </c>
      <c r="C9" s="33">
        <v>21.65</v>
      </c>
      <c r="D9" s="33">
        <v>801.35</v>
      </c>
      <c r="E9" s="37">
        <f t="shared" si="1"/>
        <v>823</v>
      </c>
      <c r="F9" s="33">
        <v>37.89</v>
      </c>
      <c r="G9" s="33">
        <v>289.03</v>
      </c>
      <c r="H9" s="37">
        <f t="shared" si="2"/>
        <v>326.92</v>
      </c>
      <c r="I9" s="33">
        <v>20.0</v>
      </c>
      <c r="J9" s="33">
        <v>255.74</v>
      </c>
      <c r="K9" s="37">
        <f t="shared" si="3"/>
        <v>275.74</v>
      </c>
      <c r="L9" s="33">
        <v>0.0</v>
      </c>
      <c r="M9" s="33">
        <v>0.0</v>
      </c>
      <c r="N9" s="37">
        <f t="shared" si="4"/>
        <v>0</v>
      </c>
      <c r="O9" s="7"/>
      <c r="P9" s="39">
        <f t="shared" si="5"/>
        <v>1425.66</v>
      </c>
    </row>
    <row r="10">
      <c r="A10" s="29" t="s">
        <v>21</v>
      </c>
      <c r="B10" s="31">
        <v>46119.0</v>
      </c>
      <c r="C10" s="33">
        <v>40.0</v>
      </c>
      <c r="D10" s="33">
        <v>373.3</v>
      </c>
      <c r="E10" s="37">
        <f t="shared" si="1"/>
        <v>413.3</v>
      </c>
      <c r="F10" s="33">
        <v>49.8</v>
      </c>
      <c r="G10" s="33">
        <v>64.95</v>
      </c>
      <c r="H10" s="37">
        <f t="shared" si="2"/>
        <v>114.75</v>
      </c>
      <c r="I10" s="33">
        <v>45.0</v>
      </c>
      <c r="J10" s="33">
        <v>101.6</v>
      </c>
      <c r="K10" s="37">
        <f t="shared" si="3"/>
        <v>146.6</v>
      </c>
      <c r="L10" s="33">
        <v>0.0</v>
      </c>
      <c r="M10" s="33">
        <v>0.0</v>
      </c>
      <c r="N10" s="36">
        <v>0.0</v>
      </c>
      <c r="O10" s="7"/>
      <c r="P10" s="39">
        <f t="shared" si="5"/>
        <v>674.65</v>
      </c>
    </row>
    <row r="11">
      <c r="A11" s="29" t="s">
        <v>24</v>
      </c>
      <c r="B11" s="31">
        <v>46120.0</v>
      </c>
      <c r="C11" s="33">
        <v>0.0</v>
      </c>
      <c r="D11" s="33">
        <v>198.61</v>
      </c>
      <c r="E11" s="37">
        <f t="shared" si="1"/>
        <v>198.61</v>
      </c>
      <c r="F11" s="33">
        <v>0.0</v>
      </c>
      <c r="G11" s="33">
        <v>32.46</v>
      </c>
      <c r="H11" s="37">
        <f t="shared" si="2"/>
        <v>32.46</v>
      </c>
      <c r="I11" s="33">
        <v>45.0</v>
      </c>
      <c r="J11" s="33">
        <v>99.54</v>
      </c>
      <c r="K11" s="37">
        <f t="shared" si="3"/>
        <v>144.54</v>
      </c>
      <c r="L11" s="33">
        <v>20.0</v>
      </c>
      <c r="M11" s="33">
        <v>21.65</v>
      </c>
      <c r="N11" s="37">
        <f t="shared" ref="N11:N34" si="6">L11+M11</f>
        <v>41.65</v>
      </c>
      <c r="O11" s="7"/>
      <c r="P11" s="39">
        <f t="shared" si="5"/>
        <v>417.26</v>
      </c>
    </row>
    <row r="12">
      <c r="A12" s="29" t="s">
        <v>26</v>
      </c>
      <c r="B12" s="31">
        <v>46121.0</v>
      </c>
      <c r="C12" s="33">
        <v>67.06</v>
      </c>
      <c r="D12" s="33">
        <v>157.24</v>
      </c>
      <c r="E12" s="37">
        <f t="shared" si="1"/>
        <v>224.3</v>
      </c>
      <c r="F12" s="33">
        <v>110.0</v>
      </c>
      <c r="G12" s="33">
        <v>163.47</v>
      </c>
      <c r="H12" s="37">
        <f t="shared" si="2"/>
        <v>273.47</v>
      </c>
      <c r="I12" s="33">
        <v>0.0</v>
      </c>
      <c r="J12" s="33">
        <v>188.9</v>
      </c>
      <c r="K12" s="37">
        <f t="shared" si="3"/>
        <v>188.9</v>
      </c>
      <c r="L12" s="33">
        <v>340.0</v>
      </c>
      <c r="M12" s="33">
        <v>38.17</v>
      </c>
      <c r="N12" s="37">
        <f t="shared" si="6"/>
        <v>378.17</v>
      </c>
      <c r="O12" s="7"/>
      <c r="P12" s="39">
        <f t="shared" si="5"/>
        <v>1064.84</v>
      </c>
    </row>
    <row r="13">
      <c r="A13" s="29" t="s">
        <v>14</v>
      </c>
      <c r="B13" s="31">
        <v>46122.0</v>
      </c>
      <c r="C13" s="33">
        <v>60.0</v>
      </c>
      <c r="D13" s="33">
        <v>1065.19</v>
      </c>
      <c r="E13" s="37">
        <f t="shared" si="1"/>
        <v>1125.19</v>
      </c>
      <c r="F13" s="33">
        <v>18.4</v>
      </c>
      <c r="G13" s="33">
        <v>205.79</v>
      </c>
      <c r="H13" s="37">
        <f t="shared" si="2"/>
        <v>224.19</v>
      </c>
      <c r="I13" s="33">
        <v>0.0</v>
      </c>
      <c r="J13" s="33">
        <v>276.04</v>
      </c>
      <c r="K13" s="37">
        <f t="shared" si="3"/>
        <v>276.04</v>
      </c>
      <c r="L13" s="33">
        <v>39.07</v>
      </c>
      <c r="M13" s="33">
        <v>417.79</v>
      </c>
      <c r="N13" s="37">
        <f t="shared" si="6"/>
        <v>456.86</v>
      </c>
      <c r="O13" s="7"/>
      <c r="P13" s="39">
        <f t="shared" si="5"/>
        <v>2082.28</v>
      </c>
    </row>
    <row r="14">
      <c r="A14" s="29" t="s">
        <v>15</v>
      </c>
      <c r="B14" s="31">
        <v>46123.0</v>
      </c>
      <c r="C14" s="33">
        <v>212.48</v>
      </c>
      <c r="D14" s="33">
        <v>739.32</v>
      </c>
      <c r="E14" s="37">
        <f t="shared" si="1"/>
        <v>951.8</v>
      </c>
      <c r="F14" s="33">
        <v>198.25</v>
      </c>
      <c r="G14" s="33">
        <v>577.54</v>
      </c>
      <c r="H14" s="37">
        <f t="shared" si="2"/>
        <v>775.79</v>
      </c>
      <c r="I14" s="33">
        <v>55.0</v>
      </c>
      <c r="J14" s="33">
        <v>216.5</v>
      </c>
      <c r="K14" s="37">
        <f t="shared" si="3"/>
        <v>271.5</v>
      </c>
      <c r="L14" s="33">
        <v>90.0</v>
      </c>
      <c r="M14" s="33">
        <v>384.3</v>
      </c>
      <c r="N14" s="37">
        <f t="shared" si="6"/>
        <v>474.3</v>
      </c>
      <c r="O14" s="7"/>
      <c r="P14" s="39">
        <f t="shared" si="5"/>
        <v>2473.39</v>
      </c>
    </row>
    <row r="15">
      <c r="A15" s="29" t="s">
        <v>22</v>
      </c>
      <c r="B15" s="31">
        <v>46124.0</v>
      </c>
      <c r="C15" s="33">
        <v>540.99</v>
      </c>
      <c r="D15" s="33">
        <v>412.54</v>
      </c>
      <c r="E15" s="37">
        <f t="shared" si="1"/>
        <v>953.53</v>
      </c>
      <c r="F15" s="33">
        <v>81.87</v>
      </c>
      <c r="G15" s="33">
        <v>624.5</v>
      </c>
      <c r="H15" s="37">
        <f t="shared" si="2"/>
        <v>706.37</v>
      </c>
      <c r="I15" s="33">
        <v>0.0</v>
      </c>
      <c r="J15" s="33">
        <v>319.34</v>
      </c>
      <c r="K15" s="37">
        <f t="shared" si="3"/>
        <v>319.34</v>
      </c>
      <c r="L15" s="33">
        <v>190.36</v>
      </c>
      <c r="M15" s="33">
        <v>194.85</v>
      </c>
      <c r="N15" s="37">
        <f t="shared" si="6"/>
        <v>385.21</v>
      </c>
      <c r="O15" s="7"/>
      <c r="P15" s="39">
        <f t="shared" si="5"/>
        <v>2364.45</v>
      </c>
    </row>
    <row r="16">
      <c r="A16" s="29" t="s">
        <v>13</v>
      </c>
      <c r="B16" s="31">
        <v>46125.0</v>
      </c>
      <c r="C16" s="33">
        <v>52.48</v>
      </c>
      <c r="D16" s="33">
        <v>449.62</v>
      </c>
      <c r="E16" s="37">
        <f t="shared" si="1"/>
        <v>502.1</v>
      </c>
      <c r="F16" s="33">
        <v>0.0</v>
      </c>
      <c r="G16" s="33">
        <v>166.96</v>
      </c>
      <c r="H16" s="37">
        <f t="shared" si="2"/>
        <v>166.96</v>
      </c>
      <c r="I16" s="33">
        <v>0.0</v>
      </c>
      <c r="J16" s="33">
        <v>32.48</v>
      </c>
      <c r="K16" s="37">
        <f t="shared" si="3"/>
        <v>32.48</v>
      </c>
      <c r="L16" s="33">
        <v>0.0</v>
      </c>
      <c r="M16" s="33">
        <v>140.73</v>
      </c>
      <c r="N16" s="37">
        <f t="shared" si="6"/>
        <v>140.73</v>
      </c>
      <c r="O16" s="7"/>
      <c r="P16" s="39">
        <f t="shared" si="5"/>
        <v>842.27</v>
      </c>
    </row>
    <row r="17">
      <c r="A17" s="29" t="s">
        <v>21</v>
      </c>
      <c r="B17" s="31">
        <v>46126.0</v>
      </c>
      <c r="C17" s="218">
        <v>54.13</v>
      </c>
      <c r="D17" s="218">
        <v>95.26</v>
      </c>
      <c r="E17" s="37">
        <f t="shared" si="1"/>
        <v>149.39</v>
      </c>
      <c r="F17" s="33">
        <v>83.3</v>
      </c>
      <c r="G17" s="33">
        <v>43.3</v>
      </c>
      <c r="H17" s="37">
        <f t="shared" si="2"/>
        <v>126.6</v>
      </c>
      <c r="I17" s="33">
        <v>65.0</v>
      </c>
      <c r="J17" s="33">
        <v>167.25</v>
      </c>
      <c r="K17" s="37">
        <f t="shared" si="3"/>
        <v>232.25</v>
      </c>
      <c r="L17" s="33">
        <v>0.0</v>
      </c>
      <c r="M17" s="33">
        <v>54.13</v>
      </c>
      <c r="N17" s="37">
        <f t="shared" si="6"/>
        <v>54.13</v>
      </c>
      <c r="O17" s="7"/>
      <c r="P17" s="39">
        <f t="shared" si="5"/>
        <v>562.37</v>
      </c>
      <c r="Q17" s="219" t="s">
        <v>237</v>
      </c>
    </row>
    <row r="18">
      <c r="A18" s="29" t="s">
        <v>24</v>
      </c>
      <c r="B18" s="31">
        <v>46127.0</v>
      </c>
      <c r="C18" s="33">
        <v>210.0</v>
      </c>
      <c r="D18" s="33">
        <v>464.38</v>
      </c>
      <c r="E18" s="37">
        <f t="shared" si="1"/>
        <v>674.38</v>
      </c>
      <c r="F18" s="33">
        <v>0.0</v>
      </c>
      <c r="G18" s="33">
        <v>161.91</v>
      </c>
      <c r="H18" s="37">
        <f t="shared" si="2"/>
        <v>161.91</v>
      </c>
      <c r="I18" s="33">
        <v>60.0</v>
      </c>
      <c r="J18" s="33">
        <v>297.69</v>
      </c>
      <c r="K18" s="37">
        <f t="shared" si="3"/>
        <v>357.69</v>
      </c>
      <c r="L18" s="218">
        <v>15.0</v>
      </c>
      <c r="M18" s="218">
        <v>43.3</v>
      </c>
      <c r="N18" s="37">
        <f t="shared" si="6"/>
        <v>58.3</v>
      </c>
      <c r="P18" s="39">
        <f t="shared" si="5"/>
        <v>1252.28</v>
      </c>
      <c r="Q18" s="220" t="s">
        <v>238</v>
      </c>
    </row>
    <row r="19">
      <c r="A19" s="29" t="s">
        <v>26</v>
      </c>
      <c r="B19" s="31">
        <v>46128.0</v>
      </c>
      <c r="C19" s="33">
        <v>199.36</v>
      </c>
      <c r="D19" s="33">
        <v>183.06</v>
      </c>
      <c r="E19" s="37">
        <f t="shared" si="1"/>
        <v>382.42</v>
      </c>
      <c r="F19" s="33">
        <v>27.06</v>
      </c>
      <c r="G19" s="33">
        <v>165.63</v>
      </c>
      <c r="H19" s="37">
        <f t="shared" si="2"/>
        <v>192.69</v>
      </c>
      <c r="I19" s="33">
        <v>90.0</v>
      </c>
      <c r="J19" s="33">
        <v>176.45</v>
      </c>
      <c r="K19" s="37">
        <f t="shared" si="3"/>
        <v>266.45</v>
      </c>
      <c r="L19" s="33">
        <v>195.0</v>
      </c>
      <c r="M19" s="33">
        <v>122.32</v>
      </c>
      <c r="N19" s="37">
        <f t="shared" si="6"/>
        <v>317.32</v>
      </c>
      <c r="O19" s="7"/>
      <c r="P19" s="39">
        <f t="shared" si="5"/>
        <v>1158.88</v>
      </c>
      <c r="Q19" s="93"/>
    </row>
    <row r="20">
      <c r="A20" s="29" t="s">
        <v>14</v>
      </c>
      <c r="B20" s="31">
        <v>46129.0</v>
      </c>
      <c r="C20" s="33">
        <v>292.28</v>
      </c>
      <c r="D20" s="33">
        <v>220.56</v>
      </c>
      <c r="E20" s="37">
        <f t="shared" si="1"/>
        <v>512.84</v>
      </c>
      <c r="F20" s="33">
        <v>21.65</v>
      </c>
      <c r="G20" s="44">
        <v>427.7</v>
      </c>
      <c r="H20" s="37">
        <f t="shared" si="2"/>
        <v>449.35</v>
      </c>
      <c r="I20" s="33">
        <v>134.12</v>
      </c>
      <c r="J20" s="33">
        <v>240.04</v>
      </c>
      <c r="K20" s="37">
        <f t="shared" si="3"/>
        <v>374.16</v>
      </c>
      <c r="L20" s="33">
        <v>105.0</v>
      </c>
      <c r="M20" s="33">
        <v>97.01</v>
      </c>
      <c r="N20" s="37">
        <f t="shared" si="6"/>
        <v>202.01</v>
      </c>
      <c r="O20" s="7"/>
      <c r="P20" s="39">
        <f t="shared" si="5"/>
        <v>1538.36</v>
      </c>
    </row>
    <row r="21">
      <c r="A21" s="29" t="s">
        <v>15</v>
      </c>
      <c r="B21" s="31">
        <v>46130.0</v>
      </c>
      <c r="C21" s="33">
        <v>194.13</v>
      </c>
      <c r="D21" s="33">
        <v>1296.61</v>
      </c>
      <c r="E21" s="37">
        <f t="shared" si="1"/>
        <v>1490.74</v>
      </c>
      <c r="F21" s="33">
        <v>105.78</v>
      </c>
      <c r="G21" s="33">
        <v>297.69</v>
      </c>
      <c r="H21" s="37">
        <f t="shared" si="2"/>
        <v>403.47</v>
      </c>
      <c r="I21" s="33">
        <v>105.0</v>
      </c>
      <c r="J21" s="33">
        <v>485.06</v>
      </c>
      <c r="K21" s="37">
        <f t="shared" si="3"/>
        <v>590.06</v>
      </c>
      <c r="L21" s="33">
        <v>257.01</v>
      </c>
      <c r="M21" s="33">
        <v>303.1</v>
      </c>
      <c r="N21" s="37">
        <f t="shared" si="6"/>
        <v>560.11</v>
      </c>
      <c r="O21" s="7"/>
      <c r="P21" s="39">
        <f t="shared" si="5"/>
        <v>3044.38</v>
      </c>
    </row>
    <row r="22">
      <c r="A22" s="29" t="s">
        <v>22</v>
      </c>
      <c r="B22" s="31">
        <v>46131.0</v>
      </c>
      <c r="C22" s="33">
        <v>309.38</v>
      </c>
      <c r="D22" s="33">
        <v>1063.68</v>
      </c>
      <c r="E22" s="37">
        <f t="shared" si="1"/>
        <v>1373.06</v>
      </c>
      <c r="F22" s="33">
        <v>64.95</v>
      </c>
      <c r="G22" s="33">
        <v>199.45</v>
      </c>
      <c r="H22" s="37">
        <f t="shared" si="2"/>
        <v>264.4</v>
      </c>
      <c r="I22" s="218">
        <v>150.48</v>
      </c>
      <c r="J22" s="218">
        <v>171.55</v>
      </c>
      <c r="K22" s="37">
        <f t="shared" si="3"/>
        <v>322.03</v>
      </c>
      <c r="L22" s="33">
        <v>231.0</v>
      </c>
      <c r="M22" s="33">
        <v>189.44</v>
      </c>
      <c r="N22" s="37">
        <f t="shared" si="6"/>
        <v>420.44</v>
      </c>
      <c r="O22" s="7"/>
      <c r="P22" s="39">
        <f t="shared" si="5"/>
        <v>2379.93</v>
      </c>
      <c r="Q22" s="219" t="s">
        <v>239</v>
      </c>
    </row>
    <row r="23">
      <c r="A23" s="29" t="s">
        <v>13</v>
      </c>
      <c r="B23" s="31">
        <v>46132.0</v>
      </c>
      <c r="C23" s="33">
        <v>15.0</v>
      </c>
      <c r="D23" s="33">
        <v>338.1</v>
      </c>
      <c r="E23" s="37">
        <f t="shared" si="1"/>
        <v>353.1</v>
      </c>
      <c r="F23" s="33">
        <v>263.05</v>
      </c>
      <c r="G23" s="33">
        <v>98.51</v>
      </c>
      <c r="H23" s="37">
        <f t="shared" si="2"/>
        <v>361.56</v>
      </c>
      <c r="I23" s="33">
        <v>0.0</v>
      </c>
      <c r="J23" s="33">
        <v>101.48</v>
      </c>
      <c r="K23" s="37">
        <f t="shared" si="3"/>
        <v>101.48</v>
      </c>
      <c r="L23" s="33">
        <v>0.0</v>
      </c>
      <c r="M23" s="33">
        <v>0.0</v>
      </c>
      <c r="N23" s="37">
        <f t="shared" si="6"/>
        <v>0</v>
      </c>
      <c r="O23" s="7"/>
      <c r="P23" s="39">
        <f t="shared" si="5"/>
        <v>816.14</v>
      </c>
    </row>
    <row r="24">
      <c r="A24" s="29" t="s">
        <v>21</v>
      </c>
      <c r="B24" s="31">
        <v>46133.0</v>
      </c>
      <c r="C24" s="33">
        <v>104.13</v>
      </c>
      <c r="D24" s="33">
        <v>427.64</v>
      </c>
      <c r="E24" s="37">
        <f t="shared" si="1"/>
        <v>531.77</v>
      </c>
      <c r="F24" s="33">
        <v>0.0</v>
      </c>
      <c r="G24" s="33">
        <v>61.65</v>
      </c>
      <c r="H24" s="37">
        <f t="shared" si="2"/>
        <v>61.65</v>
      </c>
      <c r="I24" s="33">
        <v>120.0</v>
      </c>
      <c r="J24" s="33">
        <v>57.38</v>
      </c>
      <c r="K24" s="37">
        <f t="shared" si="3"/>
        <v>177.38</v>
      </c>
      <c r="L24" s="33">
        <v>28.13</v>
      </c>
      <c r="M24" s="33">
        <v>51.96</v>
      </c>
      <c r="N24" s="37">
        <f t="shared" si="6"/>
        <v>80.09</v>
      </c>
      <c r="O24" s="7"/>
      <c r="P24" s="39">
        <f t="shared" si="5"/>
        <v>850.89</v>
      </c>
    </row>
    <row r="25">
      <c r="A25" s="29" t="s">
        <v>24</v>
      </c>
      <c r="B25" s="31">
        <v>46134.0</v>
      </c>
      <c r="C25" s="33">
        <v>20.0</v>
      </c>
      <c r="D25" s="33">
        <v>158.21</v>
      </c>
      <c r="E25" s="37">
        <f t="shared" si="1"/>
        <v>178.21</v>
      </c>
      <c r="F25" s="33">
        <v>0.0</v>
      </c>
      <c r="G25" s="33">
        <v>37.89</v>
      </c>
      <c r="H25" s="37">
        <f t="shared" si="2"/>
        <v>37.89</v>
      </c>
      <c r="I25" s="33">
        <v>0.0</v>
      </c>
      <c r="J25" s="33">
        <v>83.2</v>
      </c>
      <c r="K25" s="37">
        <f t="shared" si="3"/>
        <v>83.2</v>
      </c>
      <c r="L25" s="33">
        <v>0.0</v>
      </c>
      <c r="M25" s="33">
        <v>205.67</v>
      </c>
      <c r="N25" s="37">
        <f t="shared" si="6"/>
        <v>205.67</v>
      </c>
      <c r="O25" s="7"/>
      <c r="P25" s="39">
        <f t="shared" si="5"/>
        <v>504.97</v>
      </c>
    </row>
    <row r="26">
      <c r="A26" s="29" t="s">
        <v>26</v>
      </c>
      <c r="B26" s="31">
        <v>46135.0</v>
      </c>
      <c r="C26" s="33">
        <v>201.14</v>
      </c>
      <c r="D26" s="33">
        <v>322.06</v>
      </c>
      <c r="E26" s="58">
        <f t="shared" si="1"/>
        <v>523.2</v>
      </c>
      <c r="F26" s="33">
        <v>62.06</v>
      </c>
      <c r="G26" s="33">
        <v>427.58</v>
      </c>
      <c r="H26" s="58">
        <f t="shared" si="2"/>
        <v>489.64</v>
      </c>
      <c r="I26" s="33">
        <v>35.0</v>
      </c>
      <c r="J26" s="33">
        <v>130.26</v>
      </c>
      <c r="K26" s="37">
        <f t="shared" si="3"/>
        <v>165.26</v>
      </c>
      <c r="L26" s="33">
        <v>0.0</v>
      </c>
      <c r="M26" s="33">
        <v>0.0</v>
      </c>
      <c r="N26" s="37">
        <f t="shared" si="6"/>
        <v>0</v>
      </c>
      <c r="O26" s="7"/>
      <c r="P26" s="39">
        <f t="shared" si="5"/>
        <v>1178.1</v>
      </c>
    </row>
    <row r="27">
      <c r="A27" s="29" t="s">
        <v>14</v>
      </c>
      <c r="B27" s="31">
        <v>46136.0</v>
      </c>
      <c r="C27" s="33">
        <v>52.89</v>
      </c>
      <c r="D27" s="33">
        <v>203.51</v>
      </c>
      <c r="E27" s="58">
        <f t="shared" si="1"/>
        <v>256.4</v>
      </c>
      <c r="F27" s="33">
        <v>0.0</v>
      </c>
      <c r="G27" s="33">
        <v>133.96</v>
      </c>
      <c r="H27" s="58">
        <f t="shared" si="2"/>
        <v>133.96</v>
      </c>
      <c r="I27" s="33">
        <v>57.48</v>
      </c>
      <c r="J27" s="33">
        <v>345.6</v>
      </c>
      <c r="K27" s="37">
        <f t="shared" si="3"/>
        <v>403.08</v>
      </c>
      <c r="L27" s="33">
        <v>90.0</v>
      </c>
      <c r="M27" s="33">
        <v>56.24</v>
      </c>
      <c r="N27" s="37">
        <f t="shared" si="6"/>
        <v>146.24</v>
      </c>
      <c r="O27" s="7"/>
      <c r="P27" s="39">
        <f t="shared" si="5"/>
        <v>939.68</v>
      </c>
    </row>
    <row r="28">
      <c r="A28" s="29" t="s">
        <v>15</v>
      </c>
      <c r="B28" s="31">
        <v>46137.0</v>
      </c>
      <c r="C28" s="33">
        <v>320.83</v>
      </c>
      <c r="D28" s="33">
        <v>508.76</v>
      </c>
      <c r="E28" s="58">
        <f t="shared" si="1"/>
        <v>829.59</v>
      </c>
      <c r="F28" s="33">
        <v>0.0</v>
      </c>
      <c r="G28" s="33">
        <v>242.32</v>
      </c>
      <c r="H28" s="58">
        <f t="shared" si="2"/>
        <v>242.32</v>
      </c>
      <c r="I28" s="33">
        <v>210.0</v>
      </c>
      <c r="J28" s="33">
        <v>154.39</v>
      </c>
      <c r="K28" s="37">
        <f t="shared" si="3"/>
        <v>364.39</v>
      </c>
      <c r="L28" s="33">
        <v>120.36</v>
      </c>
      <c r="M28" s="33">
        <v>146.14</v>
      </c>
      <c r="N28" s="37">
        <f t="shared" si="6"/>
        <v>266.5</v>
      </c>
      <c r="O28" s="7"/>
      <c r="P28" s="39">
        <f t="shared" si="5"/>
        <v>1702.8</v>
      </c>
    </row>
    <row r="29">
      <c r="A29" s="29" t="s">
        <v>22</v>
      </c>
      <c r="B29" s="31">
        <v>46138.0</v>
      </c>
      <c r="C29" s="33">
        <v>246.65</v>
      </c>
      <c r="D29" s="33">
        <v>847.77</v>
      </c>
      <c r="E29" s="58">
        <f t="shared" si="1"/>
        <v>1094.42</v>
      </c>
      <c r="F29" s="33">
        <v>64.95</v>
      </c>
      <c r="G29" s="33">
        <v>193.51</v>
      </c>
      <c r="H29" s="58">
        <f t="shared" si="2"/>
        <v>258.46</v>
      </c>
      <c r="I29" s="33">
        <v>83.3</v>
      </c>
      <c r="J29" s="33">
        <v>176.14</v>
      </c>
      <c r="K29" s="37">
        <f t="shared" si="3"/>
        <v>259.44</v>
      </c>
      <c r="L29" s="33">
        <v>81.19</v>
      </c>
      <c r="M29" s="33">
        <v>194.85</v>
      </c>
      <c r="N29" s="37">
        <f t="shared" si="6"/>
        <v>276.04</v>
      </c>
      <c r="O29" s="7"/>
      <c r="P29" s="39">
        <f t="shared" si="5"/>
        <v>1888.36</v>
      </c>
    </row>
    <row r="30">
      <c r="A30" s="29" t="s">
        <v>13</v>
      </c>
      <c r="B30" s="31">
        <v>46139.0</v>
      </c>
      <c r="C30" s="33">
        <v>111.95</v>
      </c>
      <c r="D30" s="33">
        <v>124.49</v>
      </c>
      <c r="E30" s="58">
        <f t="shared" si="1"/>
        <v>236.44</v>
      </c>
      <c r="F30" s="33">
        <v>81.18</v>
      </c>
      <c r="G30" s="33">
        <v>111.5</v>
      </c>
      <c r="H30" s="58">
        <f t="shared" si="2"/>
        <v>192.68</v>
      </c>
      <c r="I30" s="33">
        <v>35.0</v>
      </c>
      <c r="J30" s="33">
        <v>95.27</v>
      </c>
      <c r="K30" s="37">
        <f t="shared" si="3"/>
        <v>130.27</v>
      </c>
      <c r="L30" s="33">
        <v>0.0</v>
      </c>
      <c r="M30" s="33">
        <v>64.95</v>
      </c>
      <c r="N30" s="37">
        <f t="shared" si="6"/>
        <v>64.95</v>
      </c>
      <c r="O30" s="7"/>
      <c r="P30" s="39">
        <f t="shared" si="5"/>
        <v>624.34</v>
      </c>
    </row>
    <row r="31">
      <c r="A31" s="29" t="s">
        <v>21</v>
      </c>
      <c r="B31" s="31">
        <v>46140.0</v>
      </c>
      <c r="C31" s="33">
        <v>194.86</v>
      </c>
      <c r="D31" s="33">
        <v>203.75</v>
      </c>
      <c r="E31" s="58">
        <f t="shared" si="1"/>
        <v>398.61</v>
      </c>
      <c r="F31" s="33">
        <v>0.0</v>
      </c>
      <c r="G31" s="33">
        <v>108.25</v>
      </c>
      <c r="H31" s="58">
        <f t="shared" si="2"/>
        <v>108.25</v>
      </c>
      <c r="I31" s="33">
        <v>0.0</v>
      </c>
      <c r="J31" s="33">
        <v>142.34</v>
      </c>
      <c r="K31" s="37">
        <f t="shared" si="3"/>
        <v>142.34</v>
      </c>
      <c r="L31" s="33">
        <v>20.0</v>
      </c>
      <c r="M31" s="33">
        <v>33.6</v>
      </c>
      <c r="N31" s="37">
        <f t="shared" si="6"/>
        <v>53.6</v>
      </c>
      <c r="O31" s="7"/>
      <c r="P31" s="39">
        <f t="shared" si="5"/>
        <v>702.8</v>
      </c>
    </row>
    <row r="32">
      <c r="A32" s="29" t="s">
        <v>24</v>
      </c>
      <c r="B32" s="31">
        <v>46141.0</v>
      </c>
      <c r="C32" s="33">
        <v>65.0</v>
      </c>
      <c r="D32" s="60">
        <v>570.91</v>
      </c>
      <c r="E32" s="58">
        <f t="shared" si="1"/>
        <v>635.91</v>
      </c>
      <c r="F32" s="60">
        <v>75.0</v>
      </c>
      <c r="G32" s="60">
        <v>128.82</v>
      </c>
      <c r="H32" s="58">
        <f t="shared" si="2"/>
        <v>203.82</v>
      </c>
      <c r="I32" s="60">
        <v>0.0</v>
      </c>
      <c r="J32" s="60">
        <v>137.05</v>
      </c>
      <c r="K32" s="37">
        <f t="shared" si="3"/>
        <v>137.05</v>
      </c>
      <c r="L32" s="33">
        <v>35.0</v>
      </c>
      <c r="M32" s="60">
        <v>197.78</v>
      </c>
      <c r="N32" s="37">
        <f t="shared" si="6"/>
        <v>232.78</v>
      </c>
      <c r="O32" s="7"/>
      <c r="P32" s="39">
        <f t="shared" si="5"/>
        <v>1209.56</v>
      </c>
    </row>
    <row r="33">
      <c r="A33" s="29" t="s">
        <v>26</v>
      </c>
      <c r="B33" s="31">
        <v>46142.0</v>
      </c>
      <c r="C33" s="33">
        <v>216.5</v>
      </c>
      <c r="D33" s="60">
        <v>236.8</v>
      </c>
      <c r="E33" s="58">
        <f t="shared" si="1"/>
        <v>453.3</v>
      </c>
      <c r="F33" s="60">
        <v>0.0</v>
      </c>
      <c r="G33" s="60">
        <v>173.2</v>
      </c>
      <c r="H33" s="58">
        <f t="shared" si="2"/>
        <v>173.2</v>
      </c>
      <c r="I33" s="60">
        <v>100.15</v>
      </c>
      <c r="J33" s="60">
        <v>124.34</v>
      </c>
      <c r="K33" s="37">
        <f t="shared" si="3"/>
        <v>224.49</v>
      </c>
      <c r="L33" s="60">
        <v>20.0</v>
      </c>
      <c r="M33" s="60">
        <v>129.91</v>
      </c>
      <c r="N33" s="37">
        <f t="shared" si="6"/>
        <v>149.91</v>
      </c>
      <c r="O33" s="7"/>
      <c r="P33" s="39">
        <f t="shared" si="5"/>
        <v>1000.9</v>
      </c>
    </row>
    <row r="34">
      <c r="A34" s="29"/>
      <c r="B34" s="31"/>
      <c r="C34" s="113"/>
      <c r="D34" s="114"/>
      <c r="E34" s="58">
        <f t="shared" si="1"/>
        <v>0</v>
      </c>
      <c r="F34" s="114"/>
      <c r="G34" s="114"/>
      <c r="H34" s="58">
        <f t="shared" si="2"/>
        <v>0</v>
      </c>
      <c r="I34" s="114"/>
      <c r="J34" s="114"/>
      <c r="K34" s="37">
        <f t="shared" si="3"/>
        <v>0</v>
      </c>
      <c r="L34" s="114"/>
      <c r="M34" s="114"/>
      <c r="N34" s="37">
        <f t="shared" si="6"/>
        <v>0</v>
      </c>
      <c r="O34" s="7"/>
      <c r="P34" s="39">
        <f t="shared" si="5"/>
        <v>0</v>
      </c>
    </row>
    <row r="35">
      <c r="A35" s="7"/>
      <c r="B35" s="7"/>
      <c r="C35" s="61">
        <f t="shared" ref="C35:D35" si="7">SUM(C4:C34)</f>
        <v>4326</v>
      </c>
      <c r="D35" s="61">
        <f t="shared" si="7"/>
        <v>13428.53</v>
      </c>
      <c r="E35" s="62"/>
      <c r="F35" s="61">
        <f t="shared" ref="F35:G35" si="8">SUM(F4:F34)</f>
        <v>1595.92</v>
      </c>
      <c r="G35" s="61">
        <f t="shared" si="8"/>
        <v>6342.81</v>
      </c>
      <c r="H35" s="62"/>
      <c r="I35" s="61">
        <f t="shared" ref="I35:J35" si="9">SUM(I4:I34)</f>
        <v>1675.53</v>
      </c>
      <c r="J35" s="61">
        <f t="shared" si="9"/>
        <v>5107.67</v>
      </c>
      <c r="K35" s="62"/>
      <c r="L35" s="61">
        <f t="shared" ref="L35:M35" si="10">SUM(L4:L34)</f>
        <v>2347.38</v>
      </c>
      <c r="M35" s="61">
        <f t="shared" si="10"/>
        <v>4483</v>
      </c>
      <c r="N35" s="7"/>
      <c r="O35" s="7"/>
      <c r="P35" s="7"/>
    </row>
    <row r="36">
      <c r="A36" s="7"/>
      <c r="B36" s="7"/>
      <c r="C36" s="7"/>
      <c r="D36" s="64" t="s">
        <v>61</v>
      </c>
      <c r="E36" s="65">
        <f>SUM(E4:E34)</f>
        <v>17754.53</v>
      </c>
      <c r="F36" s="7"/>
      <c r="G36" s="64" t="s">
        <v>3</v>
      </c>
      <c r="H36" s="66">
        <f>SUM(H4:H34)</f>
        <v>7938.73</v>
      </c>
      <c r="I36" s="7"/>
      <c r="J36" s="64" t="s">
        <v>4</v>
      </c>
      <c r="K36" s="67">
        <f>SUM(K4:K34)</f>
        <v>6783.2</v>
      </c>
      <c r="L36" s="7"/>
      <c r="M36" s="64" t="s">
        <v>5</v>
      </c>
      <c r="N36" s="67">
        <f>SUM(N4:N34)</f>
        <v>6830.38</v>
      </c>
      <c r="O36" s="7"/>
      <c r="P36" s="225">
        <f>SUM(P4:P34)</f>
        <v>39306.84</v>
      </c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>
      <c r="A40" s="73"/>
      <c r="B40" s="74" t="s">
        <v>63</v>
      </c>
      <c r="C40" s="76">
        <f>C35+F35+I35+L35</f>
        <v>9944.83</v>
      </c>
      <c r="D40" s="7"/>
      <c r="E40" s="7"/>
      <c r="F40" s="226" t="s">
        <v>246</v>
      </c>
      <c r="G40" s="226" t="s">
        <v>247</v>
      </c>
      <c r="H40" s="226" t="s">
        <v>248</v>
      </c>
      <c r="I40" s="226" t="s">
        <v>249</v>
      </c>
      <c r="J40" s="226" t="s">
        <v>250</v>
      </c>
      <c r="K40" s="226" t="s">
        <v>251</v>
      </c>
      <c r="L40" s="7"/>
      <c r="M40" s="7"/>
      <c r="N40" s="7"/>
      <c r="O40" s="7"/>
      <c r="P40" s="7"/>
    </row>
    <row r="41">
      <c r="A41" s="73"/>
      <c r="B41" s="74" t="s">
        <v>64</v>
      </c>
      <c r="C41" s="76">
        <f>D35+G35+J35+M35</f>
        <v>29362.01</v>
      </c>
      <c r="D41" s="7"/>
      <c r="E41" s="7"/>
      <c r="F41" s="227">
        <v>39306.84</v>
      </c>
      <c r="G41" s="56">
        <v>9944.83</v>
      </c>
      <c r="H41" s="184">
        <v>4272.63</v>
      </c>
      <c r="I41" s="56">
        <v>45.0</v>
      </c>
      <c r="J41" s="56">
        <v>9814.0</v>
      </c>
      <c r="K41" s="228" t="s">
        <v>252</v>
      </c>
      <c r="L41" s="7"/>
      <c r="N41" s="7"/>
      <c r="O41" s="7"/>
      <c r="P41" s="7"/>
    </row>
    <row r="42">
      <c r="A42" s="78"/>
      <c r="B42" s="78"/>
      <c r="C42" s="79"/>
      <c r="D42" s="7"/>
      <c r="E42" s="7"/>
      <c r="F42" s="229"/>
      <c r="G42" s="230"/>
      <c r="H42" s="230"/>
      <c r="I42" s="230"/>
      <c r="J42" s="231"/>
      <c r="K42" s="232"/>
      <c r="L42" s="7"/>
      <c r="M42" s="7"/>
      <c r="N42" s="7"/>
      <c r="O42" s="7"/>
      <c r="P42" s="7"/>
    </row>
    <row r="43">
      <c r="A43" s="80"/>
      <c r="B43" s="81" t="s">
        <v>65</v>
      </c>
      <c r="C43" s="67">
        <f>SUM(P4:P34)</f>
        <v>39306.84</v>
      </c>
      <c r="D43" s="7"/>
      <c r="E43" s="7"/>
      <c r="F43" s="7"/>
      <c r="G43" s="7"/>
      <c r="H43" s="7"/>
      <c r="I43" s="7"/>
      <c r="J43" s="7"/>
      <c r="K43" s="181" t="s">
        <v>107</v>
      </c>
      <c r="L43" s="7"/>
      <c r="M43" s="7"/>
      <c r="N43" s="7"/>
      <c r="O43" s="7"/>
      <c r="P43" s="7"/>
    </row>
    <row r="50">
      <c r="A50" s="233" t="s">
        <v>0</v>
      </c>
      <c r="B50" s="233" t="s">
        <v>1</v>
      </c>
      <c r="C50" s="233" t="s">
        <v>11</v>
      </c>
      <c r="D50" s="233" t="s">
        <v>3</v>
      </c>
      <c r="E50" s="233" t="s">
        <v>4</v>
      </c>
      <c r="F50" s="233" t="s">
        <v>5</v>
      </c>
      <c r="G50" s="233" t="s">
        <v>12</v>
      </c>
    </row>
    <row r="51">
      <c r="A51" s="40" t="s">
        <v>24</v>
      </c>
      <c r="B51" s="95">
        <v>46113.0</v>
      </c>
      <c r="C51" s="234" t="s">
        <v>19</v>
      </c>
      <c r="D51" s="235" t="s">
        <v>255</v>
      </c>
      <c r="E51" s="236" t="s">
        <v>25</v>
      </c>
      <c r="F51" s="236" t="s">
        <v>256</v>
      </c>
      <c r="G51" s="44">
        <v>10.0</v>
      </c>
      <c r="I51" s="44"/>
    </row>
    <row r="52">
      <c r="A52" s="40" t="s">
        <v>26</v>
      </c>
      <c r="B52" s="95">
        <v>46114.0</v>
      </c>
      <c r="C52" s="234" t="s">
        <v>19</v>
      </c>
      <c r="D52" s="235" t="s">
        <v>18</v>
      </c>
      <c r="E52" s="236" t="s">
        <v>25</v>
      </c>
      <c r="F52" s="236" t="s">
        <v>256</v>
      </c>
      <c r="G52" s="44">
        <v>10.0</v>
      </c>
    </row>
    <row r="53">
      <c r="A53" s="40" t="s">
        <v>14</v>
      </c>
      <c r="B53" s="95">
        <v>46115.0</v>
      </c>
      <c r="C53" s="234" t="s">
        <v>19</v>
      </c>
      <c r="D53" s="235" t="s">
        <v>18</v>
      </c>
      <c r="E53" s="236" t="s">
        <v>255</v>
      </c>
      <c r="F53" s="236" t="s">
        <v>256</v>
      </c>
      <c r="G53" s="44">
        <v>11.0</v>
      </c>
    </row>
    <row r="54">
      <c r="A54" s="40" t="s">
        <v>15</v>
      </c>
      <c r="B54" s="95">
        <v>46116.0</v>
      </c>
      <c r="C54" s="234" t="s">
        <v>19</v>
      </c>
      <c r="D54" s="235" t="s">
        <v>257</v>
      </c>
      <c r="E54" s="236" t="s">
        <v>255</v>
      </c>
      <c r="F54" s="236" t="s">
        <v>256</v>
      </c>
      <c r="G54" s="44">
        <v>11.0</v>
      </c>
    </row>
    <row r="55">
      <c r="A55" s="40" t="s">
        <v>22</v>
      </c>
      <c r="B55" s="95">
        <v>46117.0</v>
      </c>
      <c r="C55" s="234" t="s">
        <v>19</v>
      </c>
      <c r="D55" s="235" t="s">
        <v>257</v>
      </c>
      <c r="E55" s="236" t="s">
        <v>255</v>
      </c>
      <c r="F55" s="236" t="s">
        <v>49</v>
      </c>
      <c r="G55" s="44">
        <v>8.0</v>
      </c>
    </row>
    <row r="56">
      <c r="A56" s="40" t="s">
        <v>13</v>
      </c>
      <c r="B56" s="95">
        <v>46118.0</v>
      </c>
      <c r="C56" s="234" t="s">
        <v>19</v>
      </c>
      <c r="D56" s="235" t="s">
        <v>18</v>
      </c>
      <c r="E56" s="236" t="s">
        <v>255</v>
      </c>
      <c r="F56" s="236" t="s">
        <v>70</v>
      </c>
      <c r="G56" s="44">
        <v>10.0</v>
      </c>
    </row>
    <row r="57">
      <c r="A57" s="40" t="s">
        <v>21</v>
      </c>
      <c r="B57" s="95">
        <v>46119.0</v>
      </c>
      <c r="C57" s="97" t="s">
        <v>258</v>
      </c>
      <c r="D57" s="98" t="s">
        <v>18</v>
      </c>
      <c r="E57" s="98" t="s">
        <v>25</v>
      </c>
      <c r="F57" s="98" t="s">
        <v>256</v>
      </c>
      <c r="G57" s="44">
        <v>10.0</v>
      </c>
    </row>
    <row r="58">
      <c r="A58" s="40" t="s">
        <v>24</v>
      </c>
      <c r="B58" s="95">
        <v>46120.0</v>
      </c>
      <c r="C58" s="97" t="s">
        <v>19</v>
      </c>
      <c r="D58" s="237" t="s">
        <v>259</v>
      </c>
      <c r="E58" s="98" t="s">
        <v>25</v>
      </c>
      <c r="F58" s="98" t="s">
        <v>256</v>
      </c>
      <c r="G58" s="44">
        <v>10.0</v>
      </c>
    </row>
    <row r="59">
      <c r="A59" s="40" t="s">
        <v>26</v>
      </c>
      <c r="B59" s="95">
        <v>46121.0</v>
      </c>
      <c r="C59" s="97" t="s">
        <v>19</v>
      </c>
      <c r="D59" s="98" t="s">
        <v>18</v>
      </c>
      <c r="E59" s="98" t="s">
        <v>25</v>
      </c>
      <c r="F59" s="237" t="s">
        <v>260</v>
      </c>
      <c r="G59" s="44">
        <v>10.0</v>
      </c>
      <c r="H59" s="219" t="s">
        <v>261</v>
      </c>
    </row>
    <row r="60">
      <c r="A60" s="40" t="s">
        <v>14</v>
      </c>
      <c r="B60" s="95">
        <v>46122.0</v>
      </c>
      <c r="C60" s="97" t="s">
        <v>29</v>
      </c>
      <c r="D60" s="98" t="s">
        <v>19</v>
      </c>
      <c r="E60" s="98" t="s">
        <v>255</v>
      </c>
      <c r="F60" s="98" t="s">
        <v>49</v>
      </c>
      <c r="G60" s="44">
        <v>11.0</v>
      </c>
    </row>
    <row r="61">
      <c r="A61" s="40" t="s">
        <v>15</v>
      </c>
      <c r="B61" s="95">
        <v>46123.0</v>
      </c>
      <c r="C61" s="97" t="s">
        <v>19</v>
      </c>
      <c r="D61" s="98" t="s">
        <v>49</v>
      </c>
      <c r="E61" s="98" t="s">
        <v>255</v>
      </c>
      <c r="F61" s="98" t="s">
        <v>256</v>
      </c>
      <c r="G61" s="44">
        <v>11.0</v>
      </c>
    </row>
    <row r="62">
      <c r="A62" s="40" t="s">
        <v>22</v>
      </c>
      <c r="B62" s="95">
        <v>46124.0</v>
      </c>
      <c r="C62" s="97" t="s">
        <v>19</v>
      </c>
      <c r="D62" s="237" t="s">
        <v>262</v>
      </c>
      <c r="E62" s="237" t="s">
        <v>263</v>
      </c>
      <c r="F62" s="98" t="s">
        <v>256</v>
      </c>
      <c r="G62" s="44">
        <v>8.0</v>
      </c>
    </row>
    <row r="63">
      <c r="A63" s="40" t="s">
        <v>13</v>
      </c>
      <c r="B63" s="95">
        <v>46125.0</v>
      </c>
      <c r="C63" s="238" t="s">
        <v>264</v>
      </c>
      <c r="D63" s="98" t="s">
        <v>83</v>
      </c>
      <c r="E63" s="98" t="s">
        <v>19</v>
      </c>
      <c r="F63" s="98" t="s">
        <v>256</v>
      </c>
      <c r="G63" s="211">
        <v>10.0</v>
      </c>
    </row>
    <row r="64">
      <c r="A64" s="40" t="s">
        <v>21</v>
      </c>
      <c r="B64" s="95">
        <v>46126.0</v>
      </c>
      <c r="C64" s="97" t="s">
        <v>29</v>
      </c>
      <c r="D64" s="98" t="s">
        <v>83</v>
      </c>
      <c r="E64" s="98" t="s">
        <v>25</v>
      </c>
      <c r="F64" s="98" t="s">
        <v>256</v>
      </c>
      <c r="G64" s="211">
        <v>10.0</v>
      </c>
    </row>
    <row r="65">
      <c r="A65" s="40" t="s">
        <v>24</v>
      </c>
      <c r="B65" s="95">
        <v>46127.0</v>
      </c>
      <c r="C65" s="97" t="s">
        <v>29</v>
      </c>
      <c r="D65" s="98" t="s">
        <v>83</v>
      </c>
      <c r="E65" s="98" t="s">
        <v>25</v>
      </c>
      <c r="F65" s="237" t="s">
        <v>265</v>
      </c>
      <c r="G65" s="211">
        <v>10.0</v>
      </c>
      <c r="H65" s="239" t="s">
        <v>266</v>
      </c>
    </row>
    <row r="66">
      <c r="A66" s="40" t="s">
        <v>26</v>
      </c>
      <c r="B66" s="95">
        <v>46128.0</v>
      </c>
      <c r="C66" s="97" t="s">
        <v>19</v>
      </c>
      <c r="D66" s="98" t="s">
        <v>83</v>
      </c>
      <c r="E66" s="237" t="s">
        <v>267</v>
      </c>
      <c r="F66" s="98" t="s">
        <v>256</v>
      </c>
      <c r="G66" s="211">
        <v>10.0</v>
      </c>
      <c r="H66" s="239" t="s">
        <v>269</v>
      </c>
    </row>
    <row r="67">
      <c r="A67" s="40" t="s">
        <v>14</v>
      </c>
      <c r="B67" s="95">
        <v>46129.0</v>
      </c>
      <c r="C67" s="238" t="s">
        <v>270</v>
      </c>
      <c r="D67" s="98" t="s">
        <v>83</v>
      </c>
      <c r="E67" s="98" t="s">
        <v>19</v>
      </c>
      <c r="F67" s="98" t="s">
        <v>256</v>
      </c>
      <c r="G67" s="242">
        <v>11.0</v>
      </c>
    </row>
    <row r="68">
      <c r="A68" s="40" t="s">
        <v>15</v>
      </c>
      <c r="B68" s="95">
        <v>46130.0</v>
      </c>
      <c r="C68" s="238" t="s">
        <v>271</v>
      </c>
      <c r="D68" s="98" t="s">
        <v>83</v>
      </c>
      <c r="E68" s="98" t="s">
        <v>19</v>
      </c>
      <c r="F68" s="98" t="s">
        <v>256</v>
      </c>
      <c r="G68" s="242">
        <v>11.0</v>
      </c>
    </row>
    <row r="69">
      <c r="A69" s="40" t="s">
        <v>22</v>
      </c>
      <c r="B69" s="95">
        <v>46131.0</v>
      </c>
      <c r="C69" s="97" t="s">
        <v>29</v>
      </c>
      <c r="D69" s="98" t="s">
        <v>83</v>
      </c>
      <c r="E69" s="98" t="s">
        <v>19</v>
      </c>
      <c r="F69" s="98" t="s">
        <v>256</v>
      </c>
      <c r="G69" s="242">
        <v>8.0</v>
      </c>
    </row>
    <row r="70">
      <c r="A70" s="40" t="s">
        <v>13</v>
      </c>
      <c r="B70" s="95">
        <v>46132.0</v>
      </c>
      <c r="C70" s="97" t="s">
        <v>19</v>
      </c>
      <c r="D70" s="98" t="s">
        <v>83</v>
      </c>
      <c r="E70" s="98" t="s">
        <v>70</v>
      </c>
      <c r="F70" s="98" t="s">
        <v>70</v>
      </c>
      <c r="G70" s="211">
        <v>10.0</v>
      </c>
    </row>
    <row r="71">
      <c r="A71" s="40" t="s">
        <v>21</v>
      </c>
      <c r="B71" s="95">
        <v>46133.0</v>
      </c>
      <c r="C71" s="97" t="s">
        <v>19</v>
      </c>
      <c r="D71" s="98" t="s">
        <v>83</v>
      </c>
      <c r="E71" s="98" t="s">
        <v>25</v>
      </c>
      <c r="F71" s="243" t="s">
        <v>70</v>
      </c>
      <c r="G71" s="211">
        <v>10.0</v>
      </c>
    </row>
    <row r="72">
      <c r="A72" s="40" t="s">
        <v>24</v>
      </c>
      <c r="B72" s="95">
        <v>46134.0</v>
      </c>
      <c r="C72" s="97" t="s">
        <v>19</v>
      </c>
      <c r="D72" s="98" t="s">
        <v>83</v>
      </c>
      <c r="E72" s="98" t="s">
        <v>25</v>
      </c>
      <c r="F72" s="98" t="s">
        <v>256</v>
      </c>
      <c r="G72" s="211">
        <v>10.0</v>
      </c>
    </row>
    <row r="73">
      <c r="A73" s="40" t="s">
        <v>26</v>
      </c>
      <c r="B73" s="95">
        <v>46135.0</v>
      </c>
      <c r="C73" s="97" t="s">
        <v>19</v>
      </c>
      <c r="D73" s="98" t="s">
        <v>83</v>
      </c>
      <c r="E73" s="98" t="s">
        <v>25</v>
      </c>
      <c r="F73" s="98" t="s">
        <v>272</v>
      </c>
      <c r="G73" s="211">
        <v>10.0</v>
      </c>
      <c r="H73" s="219" t="s">
        <v>273</v>
      </c>
    </row>
    <row r="74">
      <c r="A74" s="40" t="s">
        <v>14</v>
      </c>
      <c r="B74" s="95">
        <v>46136.0</v>
      </c>
      <c r="C74" s="238" t="s">
        <v>274</v>
      </c>
      <c r="D74" s="98" t="s">
        <v>83</v>
      </c>
      <c r="E74" s="236" t="s">
        <v>19</v>
      </c>
      <c r="F74" s="98" t="s">
        <v>256</v>
      </c>
      <c r="G74" s="242">
        <v>11.0</v>
      </c>
      <c r="H74" s="239" t="s">
        <v>275</v>
      </c>
    </row>
    <row r="75">
      <c r="A75" s="40" t="s">
        <v>15</v>
      </c>
      <c r="B75" s="95">
        <v>46137.0</v>
      </c>
      <c r="C75" s="234" t="s">
        <v>29</v>
      </c>
      <c r="D75" s="98" t="s">
        <v>83</v>
      </c>
      <c r="E75" s="236" t="s">
        <v>19</v>
      </c>
      <c r="F75" s="236" t="s">
        <v>70</v>
      </c>
      <c r="G75" s="242">
        <v>11.0</v>
      </c>
    </row>
    <row r="76">
      <c r="A76" s="40" t="s">
        <v>22</v>
      </c>
      <c r="B76" s="95">
        <v>46138.0</v>
      </c>
      <c r="C76" s="234" t="s">
        <v>29</v>
      </c>
      <c r="D76" s="98" t="s">
        <v>83</v>
      </c>
      <c r="E76" s="236" t="s">
        <v>19</v>
      </c>
      <c r="F76" s="236" t="s">
        <v>70</v>
      </c>
      <c r="G76" s="242">
        <v>8.0</v>
      </c>
    </row>
    <row r="77">
      <c r="A77" s="40" t="s">
        <v>13</v>
      </c>
      <c r="B77" s="95">
        <v>46139.0</v>
      </c>
      <c r="C77" s="234" t="s">
        <v>19</v>
      </c>
      <c r="D77" s="98" t="s">
        <v>83</v>
      </c>
      <c r="E77" s="236" t="s">
        <v>25</v>
      </c>
      <c r="F77" s="236" t="s">
        <v>256</v>
      </c>
      <c r="G77" s="44">
        <v>10.0</v>
      </c>
    </row>
    <row r="78">
      <c r="A78" s="40" t="s">
        <v>21</v>
      </c>
      <c r="B78" s="95">
        <v>46140.0</v>
      </c>
      <c r="C78" s="234" t="s">
        <v>19</v>
      </c>
      <c r="D78" s="98" t="s">
        <v>83</v>
      </c>
      <c r="E78" s="236" t="s">
        <v>166</v>
      </c>
      <c r="F78" s="236" t="s">
        <v>70</v>
      </c>
      <c r="G78" s="44">
        <v>10.0</v>
      </c>
      <c r="H78" s="239" t="s">
        <v>278</v>
      </c>
    </row>
    <row r="79">
      <c r="A79" s="40" t="s">
        <v>24</v>
      </c>
      <c r="B79" s="95">
        <v>46141.0</v>
      </c>
      <c r="C79" s="234" t="s">
        <v>19</v>
      </c>
      <c r="D79" s="237" t="s">
        <v>279</v>
      </c>
      <c r="E79" s="236" t="s">
        <v>25</v>
      </c>
      <c r="F79" s="236" t="s">
        <v>256</v>
      </c>
      <c r="G79" s="44">
        <v>10.0</v>
      </c>
      <c r="H79" s="93"/>
    </row>
    <row r="80">
      <c r="A80" s="40" t="s">
        <v>26</v>
      </c>
      <c r="B80" s="95">
        <v>46142.0</v>
      </c>
      <c r="C80" s="238" t="s">
        <v>280</v>
      </c>
      <c r="D80" s="237" t="s">
        <v>281</v>
      </c>
      <c r="E80" s="237" t="s">
        <v>282</v>
      </c>
      <c r="F80" s="237" t="s">
        <v>283</v>
      </c>
      <c r="G80" s="44">
        <v>10.0</v>
      </c>
    </row>
    <row r="81">
      <c r="A81" s="40"/>
      <c r="B81" s="95"/>
      <c r="C81" s="157"/>
      <c r="D81" s="246"/>
      <c r="E81" s="236"/>
      <c r="F81" s="236"/>
    </row>
    <row r="82">
      <c r="A82" s="69"/>
      <c r="B82" s="69"/>
      <c r="C82" s="69"/>
      <c r="D82" s="69"/>
      <c r="E82" s="69"/>
      <c r="F82" s="69"/>
      <c r="G82" s="69"/>
    </row>
    <row r="83">
      <c r="A83" s="69"/>
      <c r="B83" s="69"/>
      <c r="C83" s="69"/>
      <c r="D83" s="69"/>
      <c r="E83" s="69"/>
      <c r="F83" s="69"/>
      <c r="G83" s="69"/>
    </row>
    <row r="84">
      <c r="A84" s="69"/>
      <c r="B84" s="69"/>
      <c r="C84" s="69">
        <f>IFERROR(__xludf.DUMMYFUNCTION("SUM(ARRAYFORMULA(IFERROR(VALUE(REGEXREPLACE(C51:C81,""[^\d]"","""")),0)))"),4577.0)</f>
        <v>4577</v>
      </c>
      <c r="D84" s="69">
        <f>IFERROR(__xludf.DUMMYFUNCTION("SUM(ARRAYFORMULA(IFERROR(VALUE(REGEXREPLACE(D51:D81,""[^\d]"","""")),0)))"),2240.0)</f>
        <v>2240</v>
      </c>
      <c r="E84" s="69">
        <f>IFERROR(__xludf.DUMMYFUNCTION("SUM(ARRAYFORMULA(IFERROR(VALUE(REGEXREPLACE(E51:E81,""[^\d]"","""")),0)))"),1151.0)</f>
        <v>1151</v>
      </c>
      <c r="F84" s="69">
        <f>IFERROR(__xludf.DUMMYFUNCTION("SUM(ARRAYFORMULA(IFERROR(VALUE(REGEXREPLACE(F51:F81,""[^\d]"","""")),0)))"),1891.0)</f>
        <v>1891</v>
      </c>
      <c r="G84" s="69">
        <f>SUM(G51:G81)</f>
        <v>300</v>
      </c>
    </row>
    <row r="86">
      <c r="A86" s="124" t="s">
        <v>92</v>
      </c>
      <c r="B86" s="125">
        <f>SUM(C84+D84+E84+F84)</f>
        <v>9859</v>
      </c>
    </row>
    <row r="89">
      <c r="A89" s="126"/>
      <c r="B89" s="126" t="s">
        <v>12</v>
      </c>
      <c r="C89" s="126" t="s">
        <v>294</v>
      </c>
      <c r="D89" s="126" t="s">
        <v>93</v>
      </c>
      <c r="F89" s="250" t="s">
        <v>152</v>
      </c>
      <c r="G89" s="251" t="s">
        <v>298</v>
      </c>
      <c r="H89" s="251" t="s">
        <v>153</v>
      </c>
      <c r="I89" s="250" t="s">
        <v>155</v>
      </c>
    </row>
    <row r="90">
      <c r="A90" s="55" t="s">
        <v>289</v>
      </c>
      <c r="B90" s="55">
        <v>202.0</v>
      </c>
      <c r="C90" s="55">
        <v>1601.0</v>
      </c>
      <c r="D90" s="252" t="s">
        <v>303</v>
      </c>
      <c r="F90" s="253" t="s">
        <v>256</v>
      </c>
      <c r="G90" s="254" t="s">
        <v>305</v>
      </c>
      <c r="H90" s="256" t="s">
        <v>308</v>
      </c>
      <c r="I90" s="257" t="s">
        <v>310</v>
      </c>
      <c r="J90" s="219" t="s">
        <v>303</v>
      </c>
    </row>
    <row r="91">
      <c r="A91" s="55" t="s">
        <v>297</v>
      </c>
      <c r="B91" s="55">
        <v>38.0</v>
      </c>
      <c r="C91" s="55">
        <v>380.0</v>
      </c>
      <c r="D91" s="120"/>
      <c r="F91" s="253" t="s">
        <v>159</v>
      </c>
      <c r="G91" s="258">
        <v>46125.0</v>
      </c>
      <c r="H91" s="259" t="s">
        <v>314</v>
      </c>
      <c r="I91" s="254" t="s">
        <v>315</v>
      </c>
    </row>
    <row r="92">
      <c r="A92" s="55" t="s">
        <v>316</v>
      </c>
      <c r="B92" s="55">
        <v>280.0</v>
      </c>
      <c r="C92" s="55">
        <v>500.0</v>
      </c>
      <c r="D92" s="140" t="s">
        <v>317</v>
      </c>
      <c r="F92" s="253" t="s">
        <v>25</v>
      </c>
      <c r="G92" s="254" t="s">
        <v>320</v>
      </c>
      <c r="H92" s="254" t="s">
        <v>321</v>
      </c>
      <c r="I92" s="261" t="s">
        <v>322</v>
      </c>
      <c r="J92" s="219" t="s">
        <v>323</v>
      </c>
    </row>
    <row r="93">
      <c r="A93" s="55" t="s">
        <v>324</v>
      </c>
      <c r="B93" s="55">
        <v>29.0</v>
      </c>
      <c r="C93" s="55">
        <v>290.0</v>
      </c>
      <c r="D93" s="120"/>
      <c r="F93" s="253" t="s">
        <v>49</v>
      </c>
      <c r="G93" s="258">
        <v>46136.0</v>
      </c>
      <c r="H93" s="259" t="s">
        <v>326</v>
      </c>
      <c r="I93" s="262">
        <v>380.0</v>
      </c>
    </row>
    <row r="94">
      <c r="A94" s="55" t="s">
        <v>302</v>
      </c>
      <c r="B94" s="55">
        <v>90.0</v>
      </c>
      <c r="C94" s="55">
        <v>990.0</v>
      </c>
      <c r="D94" s="120"/>
      <c r="F94" s="159" t="s">
        <v>171</v>
      </c>
      <c r="G94" s="265"/>
      <c r="H94" s="266" t="s">
        <v>333</v>
      </c>
      <c r="I94" s="266" t="s">
        <v>335</v>
      </c>
    </row>
    <row r="95">
      <c r="A95" s="55" t="s">
        <v>108</v>
      </c>
      <c r="B95" s="140" t="s">
        <v>336</v>
      </c>
      <c r="C95" s="55">
        <v>4032.0</v>
      </c>
      <c r="D95" s="140" t="s">
        <v>337</v>
      </c>
      <c r="F95" s="159" t="s">
        <v>19</v>
      </c>
      <c r="G95" s="258">
        <v>46142.0</v>
      </c>
      <c r="H95" s="266" t="s">
        <v>338</v>
      </c>
      <c r="I95" s="266">
        <v>500.0</v>
      </c>
    </row>
    <row r="96">
      <c r="A96" s="55" t="s">
        <v>339</v>
      </c>
      <c r="B96" s="55">
        <v>221.0</v>
      </c>
      <c r="C96" s="55">
        <v>1000.0</v>
      </c>
      <c r="D96" s="140" t="s">
        <v>317</v>
      </c>
      <c r="F96" s="159" t="s">
        <v>18</v>
      </c>
      <c r="G96" s="258">
        <v>46141.0</v>
      </c>
      <c r="H96" s="266" t="s">
        <v>341</v>
      </c>
      <c r="I96" s="266">
        <v>1000.0</v>
      </c>
    </row>
    <row r="97">
      <c r="A97" s="55" t="s">
        <v>119</v>
      </c>
      <c r="B97" s="55">
        <v>140.0</v>
      </c>
      <c r="C97" s="55">
        <v>821.0</v>
      </c>
      <c r="D97" s="252" t="s">
        <v>323</v>
      </c>
      <c r="F97" s="159" t="s">
        <v>257</v>
      </c>
      <c r="G97" s="258">
        <v>46130.0</v>
      </c>
      <c r="H97" s="266" t="s">
        <v>343</v>
      </c>
      <c r="I97" s="266">
        <v>290.0</v>
      </c>
    </row>
    <row r="98">
      <c r="A98" s="55" t="s">
        <v>68</v>
      </c>
      <c r="B98" s="55">
        <v>20.0</v>
      </c>
      <c r="C98" s="55">
        <v>200.0</v>
      </c>
      <c r="D98" s="120"/>
      <c r="F98" s="159" t="s">
        <v>255</v>
      </c>
      <c r="G98" s="265">
        <v>46121.0</v>
      </c>
      <c r="H98" s="266" t="s">
        <v>345</v>
      </c>
      <c r="I98" s="266" t="s">
        <v>346</v>
      </c>
    </row>
    <row r="99">
      <c r="A99" s="55" t="s">
        <v>171</v>
      </c>
      <c r="B99" s="55" t="s">
        <v>347</v>
      </c>
      <c r="C99" s="55">
        <v>45.0</v>
      </c>
      <c r="D99" s="120"/>
      <c r="F99" s="159"/>
      <c r="G99" s="265"/>
      <c r="H99" s="266"/>
      <c r="I99" s="266"/>
    </row>
    <row r="100">
      <c r="A100" s="120"/>
      <c r="B100" s="120"/>
      <c r="C100" s="120"/>
      <c r="D100" s="120"/>
      <c r="F100" s="267" t="s">
        <v>166</v>
      </c>
      <c r="G100" s="268">
        <v>46142.0</v>
      </c>
      <c r="H100" s="267" t="s">
        <v>349</v>
      </c>
      <c r="I100" s="267">
        <v>200.0</v>
      </c>
    </row>
    <row r="101">
      <c r="A101" s="269" t="s">
        <v>351</v>
      </c>
      <c r="B101" s="270"/>
      <c r="C101" s="270">
        <f>SUM(C90:C100)</f>
        <v>9859</v>
      </c>
      <c r="F101" s="272"/>
      <c r="G101" s="272"/>
      <c r="H101" s="272"/>
      <c r="I101" s="272"/>
    </row>
    <row r="102">
      <c r="F102" s="273" t="s">
        <v>176</v>
      </c>
      <c r="G102" s="274"/>
      <c r="H102" s="274"/>
      <c r="I102" s="105">
        <f>IFERROR(__xludf.DUMMYFUNCTION("SUM(
  SPLIT(
    TEXTJOIN(""+"", TRUE, I90:I101),
    ""+""
  )
)"),9859.0)</f>
        <v>9859</v>
      </c>
    </row>
    <row r="103">
      <c r="A103" s="276" t="s">
        <v>366</v>
      </c>
      <c r="B103" s="158"/>
    </row>
    <row r="105">
      <c r="A105" s="73"/>
      <c r="B105" s="73"/>
      <c r="C105" s="277"/>
      <c r="D105" s="7"/>
      <c r="E105" s="7"/>
    </row>
    <row r="106">
      <c r="A106" s="226" t="s">
        <v>246</v>
      </c>
      <c r="B106" s="226" t="s">
        <v>247</v>
      </c>
      <c r="C106" s="226" t="s">
        <v>248</v>
      </c>
      <c r="D106" s="226" t="s">
        <v>249</v>
      </c>
      <c r="E106" s="226" t="s">
        <v>250</v>
      </c>
      <c r="F106" s="226" t="s">
        <v>251</v>
      </c>
    </row>
    <row r="107">
      <c r="A107" s="278">
        <v>39291.84</v>
      </c>
      <c r="B107" s="279">
        <v>9944.83</v>
      </c>
      <c r="C107" s="280">
        <v>4272.63</v>
      </c>
      <c r="D107" s="281">
        <v>45.0</v>
      </c>
      <c r="E107" s="279">
        <v>9814.0</v>
      </c>
      <c r="F107" s="282">
        <v>85.83</v>
      </c>
    </row>
    <row r="108">
      <c r="A108" s="229"/>
      <c r="B108" s="230"/>
      <c r="C108" s="230"/>
      <c r="D108" s="230"/>
      <c r="E108" s="231"/>
      <c r="F108" s="232"/>
      <c r="G108" s="7"/>
      <c r="H108" s="7"/>
      <c r="I108" s="7"/>
      <c r="J108" s="7"/>
      <c r="K108" s="7"/>
    </row>
    <row r="168">
      <c r="J168" s="283"/>
      <c r="K168" s="284"/>
      <c r="L168" s="284"/>
    </row>
    <row r="169">
      <c r="J169" s="285"/>
      <c r="K169" s="284"/>
      <c r="L169" s="284"/>
    </row>
    <row r="170">
      <c r="J170" s="283"/>
      <c r="K170" s="284"/>
      <c r="L170" s="284"/>
    </row>
  </sheetData>
  <autoFilter ref="$A$1:$AA$50505"/>
  <mergeCells count="7">
    <mergeCell ref="A1:C1"/>
    <mergeCell ref="A2:A3"/>
    <mergeCell ref="B2:B3"/>
    <mergeCell ref="C2:E2"/>
    <mergeCell ref="F2:H2"/>
    <mergeCell ref="I2:K2"/>
    <mergeCell ref="L2:N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5" max="5" width="18.25"/>
    <col customWidth="1" min="6" max="6" width="20.38"/>
    <col customWidth="1" min="10" max="10" width="12.88"/>
    <col customWidth="1" min="17" max="17" width="16.88"/>
  </cols>
  <sheetData>
    <row r="1">
      <c r="A1" s="215"/>
      <c r="B1" s="215">
        <v>46082.0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>
      <c r="A2" s="216"/>
      <c r="B2" s="214" t="s">
        <v>1</v>
      </c>
      <c r="C2" s="15" t="s">
        <v>2</v>
      </c>
      <c r="D2" s="4"/>
      <c r="E2" s="6"/>
      <c r="F2" s="19" t="s">
        <v>3</v>
      </c>
      <c r="G2" s="4"/>
      <c r="H2" s="6"/>
      <c r="I2" s="21" t="s">
        <v>4</v>
      </c>
      <c r="J2" s="4"/>
      <c r="K2" s="6"/>
      <c r="L2" s="24" t="s">
        <v>5</v>
      </c>
      <c r="M2" s="4"/>
      <c r="N2" s="6"/>
      <c r="O2" s="7"/>
      <c r="P2" s="7"/>
    </row>
    <row r="3">
      <c r="A3" s="217" t="s">
        <v>0</v>
      </c>
      <c r="B3" s="16"/>
      <c r="C3" s="27" t="s">
        <v>8</v>
      </c>
      <c r="D3" s="27" t="s">
        <v>9</v>
      </c>
      <c r="E3" s="27" t="s">
        <v>10</v>
      </c>
      <c r="F3" s="28" t="s">
        <v>8</v>
      </c>
      <c r="G3" s="28" t="s">
        <v>9</v>
      </c>
      <c r="H3" s="28" t="s">
        <v>10</v>
      </c>
      <c r="I3" s="30" t="s">
        <v>8</v>
      </c>
      <c r="J3" s="30" t="s">
        <v>9</v>
      </c>
      <c r="K3" s="30" t="s">
        <v>10</v>
      </c>
      <c r="L3" s="32" t="s">
        <v>8</v>
      </c>
      <c r="M3" s="32" t="s">
        <v>9</v>
      </c>
      <c r="N3" s="32" t="s">
        <v>10</v>
      </c>
      <c r="O3" s="7"/>
      <c r="P3" s="26" t="s">
        <v>6</v>
      </c>
    </row>
    <row r="4">
      <c r="A4" s="29" t="s">
        <v>22</v>
      </c>
      <c r="B4" s="31">
        <v>46082.0</v>
      </c>
      <c r="C4" s="33">
        <v>215.0</v>
      </c>
      <c r="D4" s="33">
        <v>731.02</v>
      </c>
      <c r="E4" s="36">
        <f t="shared" ref="E4:E34" si="1">C4+D4</f>
        <v>946.02</v>
      </c>
      <c r="F4" s="33">
        <v>40.0</v>
      </c>
      <c r="G4" s="33">
        <v>366.08</v>
      </c>
      <c r="H4" s="37">
        <f t="shared" ref="H4:H34" si="2">F4+G4</f>
        <v>406.08</v>
      </c>
      <c r="I4" s="33">
        <v>240.0</v>
      </c>
      <c r="J4" s="33">
        <v>255.48</v>
      </c>
      <c r="K4" s="37">
        <f t="shared" ref="K4:K34" si="3">I4+J4</f>
        <v>495.48</v>
      </c>
      <c r="L4" s="33">
        <v>201.62</v>
      </c>
      <c r="M4" s="33">
        <v>270.15</v>
      </c>
      <c r="N4" s="37">
        <f t="shared" ref="N4:N34" si="4">L4+M4</f>
        <v>471.77</v>
      </c>
      <c r="O4" s="7"/>
      <c r="P4" s="39">
        <f t="shared" ref="P4:P34" si="5">SUM(E4+H4+K4+N4)</f>
        <v>2319.35</v>
      </c>
    </row>
    <row r="5">
      <c r="A5" s="29" t="s">
        <v>13</v>
      </c>
      <c r="B5" s="31">
        <v>46083.0</v>
      </c>
      <c r="C5" s="33">
        <v>86.6</v>
      </c>
      <c r="D5" s="33">
        <v>457.62</v>
      </c>
      <c r="E5" s="37">
        <f t="shared" si="1"/>
        <v>544.22</v>
      </c>
      <c r="F5" s="33">
        <v>0.0</v>
      </c>
      <c r="G5" s="33">
        <v>335.54</v>
      </c>
      <c r="H5" s="37">
        <f t="shared" si="2"/>
        <v>335.54</v>
      </c>
      <c r="I5" s="33">
        <v>50.0</v>
      </c>
      <c r="J5" s="33">
        <v>113.65</v>
      </c>
      <c r="K5" s="37">
        <f t="shared" si="3"/>
        <v>163.65</v>
      </c>
      <c r="L5" s="33">
        <v>0.0</v>
      </c>
      <c r="M5" s="33">
        <v>198.1</v>
      </c>
      <c r="N5" s="37">
        <f t="shared" si="4"/>
        <v>198.1</v>
      </c>
      <c r="O5" s="7"/>
      <c r="P5" s="39">
        <f t="shared" si="5"/>
        <v>1241.51</v>
      </c>
    </row>
    <row r="6">
      <c r="A6" s="29" t="s">
        <v>21</v>
      </c>
      <c r="B6" s="31">
        <v>46084.0</v>
      </c>
      <c r="C6" s="33">
        <v>164.0</v>
      </c>
      <c r="D6" s="33">
        <v>139.92</v>
      </c>
      <c r="E6" s="37">
        <f t="shared" si="1"/>
        <v>303.92</v>
      </c>
      <c r="F6" s="33">
        <v>20.0</v>
      </c>
      <c r="G6" s="33">
        <v>81.19</v>
      </c>
      <c r="H6" s="37">
        <f t="shared" si="2"/>
        <v>101.19</v>
      </c>
      <c r="I6" s="33">
        <v>15.0</v>
      </c>
      <c r="J6" s="33">
        <v>135.32</v>
      </c>
      <c r="K6" s="37">
        <f t="shared" si="3"/>
        <v>150.32</v>
      </c>
      <c r="L6" s="33">
        <v>20.0</v>
      </c>
      <c r="M6" s="33">
        <v>43.3</v>
      </c>
      <c r="N6" s="37">
        <f t="shared" si="4"/>
        <v>63.3</v>
      </c>
      <c r="O6" s="7"/>
      <c r="P6" s="39">
        <f t="shared" si="5"/>
        <v>618.73</v>
      </c>
    </row>
    <row r="7">
      <c r="A7" s="29" t="s">
        <v>24</v>
      </c>
      <c r="B7" s="31">
        <v>46085.0</v>
      </c>
      <c r="C7" s="33">
        <v>67.38</v>
      </c>
      <c r="D7" s="33">
        <v>808.69</v>
      </c>
      <c r="E7" s="37">
        <f t="shared" si="1"/>
        <v>876.07</v>
      </c>
      <c r="F7" s="33">
        <v>0.0</v>
      </c>
      <c r="G7" s="33">
        <v>268.4</v>
      </c>
      <c r="H7" s="37">
        <f t="shared" si="2"/>
        <v>268.4</v>
      </c>
      <c r="I7" s="33">
        <v>0.0</v>
      </c>
      <c r="J7" s="33">
        <v>43.3</v>
      </c>
      <c r="K7" s="37">
        <f t="shared" si="3"/>
        <v>43.3</v>
      </c>
      <c r="L7" s="33">
        <v>0.0</v>
      </c>
      <c r="M7" s="33">
        <v>86.6</v>
      </c>
      <c r="N7" s="37">
        <f t="shared" si="4"/>
        <v>86.6</v>
      </c>
      <c r="O7" s="7"/>
      <c r="P7" s="39">
        <f t="shared" si="5"/>
        <v>1274.37</v>
      </c>
    </row>
    <row r="8">
      <c r="A8" s="29" t="s">
        <v>26</v>
      </c>
      <c r="B8" s="31">
        <v>46086.0</v>
      </c>
      <c r="C8" s="33">
        <v>50.0</v>
      </c>
      <c r="D8" s="33">
        <v>1034.8</v>
      </c>
      <c r="E8" s="37">
        <f t="shared" si="1"/>
        <v>1084.8</v>
      </c>
      <c r="F8" s="33">
        <v>0.0</v>
      </c>
      <c r="G8" s="33">
        <v>108.25</v>
      </c>
      <c r="H8" s="37">
        <f t="shared" si="2"/>
        <v>108.25</v>
      </c>
      <c r="I8" s="33">
        <v>55.0</v>
      </c>
      <c r="J8" s="33">
        <v>134.79</v>
      </c>
      <c r="K8" s="37">
        <f t="shared" si="3"/>
        <v>189.79</v>
      </c>
      <c r="L8" s="33">
        <v>73.3</v>
      </c>
      <c r="M8" s="33">
        <v>92.01</v>
      </c>
      <c r="N8" s="37">
        <f t="shared" si="4"/>
        <v>165.31</v>
      </c>
      <c r="O8" s="7"/>
      <c r="P8" s="39">
        <f t="shared" si="5"/>
        <v>1548.15</v>
      </c>
    </row>
    <row r="9">
      <c r="A9" s="29" t="s">
        <v>14</v>
      </c>
      <c r="B9" s="31">
        <v>46087.0</v>
      </c>
      <c r="C9" s="33">
        <v>31.38</v>
      </c>
      <c r="D9" s="33">
        <v>292.28</v>
      </c>
      <c r="E9" s="37">
        <f t="shared" si="1"/>
        <v>323.66</v>
      </c>
      <c r="F9" s="33">
        <v>40.0</v>
      </c>
      <c r="G9" s="33">
        <v>357.44</v>
      </c>
      <c r="H9" s="37">
        <f t="shared" si="2"/>
        <v>397.44</v>
      </c>
      <c r="I9" s="33">
        <v>0.0</v>
      </c>
      <c r="J9" s="33">
        <v>54.13</v>
      </c>
      <c r="K9" s="37">
        <f t="shared" si="3"/>
        <v>54.13</v>
      </c>
      <c r="L9" s="33">
        <v>40.0</v>
      </c>
      <c r="M9" s="33">
        <v>112.57</v>
      </c>
      <c r="N9" s="37">
        <f t="shared" si="4"/>
        <v>152.57</v>
      </c>
      <c r="O9" s="7"/>
      <c r="P9" s="39">
        <f t="shared" si="5"/>
        <v>927.8</v>
      </c>
    </row>
    <row r="10">
      <c r="A10" s="29" t="s">
        <v>15</v>
      </c>
      <c r="B10" s="31">
        <v>46088.0</v>
      </c>
      <c r="C10" s="33">
        <v>168.24</v>
      </c>
      <c r="D10" s="33">
        <v>917.46</v>
      </c>
      <c r="E10" s="37">
        <f t="shared" si="1"/>
        <v>1085.7</v>
      </c>
      <c r="F10" s="33">
        <v>135.0</v>
      </c>
      <c r="G10" s="33">
        <v>300.17</v>
      </c>
      <c r="H10" s="37">
        <f t="shared" si="2"/>
        <v>435.17</v>
      </c>
      <c r="I10" s="33">
        <v>40.0</v>
      </c>
      <c r="J10" s="33">
        <v>532.51</v>
      </c>
      <c r="K10" s="37">
        <f t="shared" si="3"/>
        <v>572.51</v>
      </c>
      <c r="L10" s="33">
        <v>80.0</v>
      </c>
      <c r="M10" s="33">
        <v>463.59</v>
      </c>
      <c r="N10" s="37">
        <f t="shared" si="4"/>
        <v>543.59</v>
      </c>
      <c r="O10" s="7"/>
      <c r="P10" s="39">
        <f t="shared" si="5"/>
        <v>2636.97</v>
      </c>
    </row>
    <row r="11">
      <c r="A11" s="29" t="s">
        <v>22</v>
      </c>
      <c r="B11" s="31">
        <v>46089.0</v>
      </c>
      <c r="C11" s="33">
        <v>462.47</v>
      </c>
      <c r="D11" s="33">
        <v>1133.21</v>
      </c>
      <c r="E11" s="37">
        <f t="shared" si="1"/>
        <v>1595.68</v>
      </c>
      <c r="F11" s="33">
        <v>126.0</v>
      </c>
      <c r="G11" s="33">
        <v>301.55</v>
      </c>
      <c r="H11" s="37">
        <f t="shared" si="2"/>
        <v>427.55</v>
      </c>
      <c r="I11" s="33">
        <v>57.89</v>
      </c>
      <c r="J11" s="33">
        <v>301.44</v>
      </c>
      <c r="K11" s="37">
        <f t="shared" si="3"/>
        <v>359.33</v>
      </c>
      <c r="L11" s="33">
        <v>180.0</v>
      </c>
      <c r="M11" s="33">
        <v>299.84</v>
      </c>
      <c r="N11" s="37">
        <f t="shared" si="4"/>
        <v>479.84</v>
      </c>
      <c r="O11" s="7"/>
      <c r="P11" s="39">
        <f t="shared" si="5"/>
        <v>2862.4</v>
      </c>
    </row>
    <row r="12">
      <c r="A12" s="29" t="s">
        <v>13</v>
      </c>
      <c r="B12" s="31">
        <v>46090.0</v>
      </c>
      <c r="C12" s="33">
        <v>41.24</v>
      </c>
      <c r="D12" s="33">
        <v>401.36</v>
      </c>
      <c r="E12" s="37">
        <f t="shared" si="1"/>
        <v>442.6</v>
      </c>
      <c r="F12" s="33">
        <v>0.0</v>
      </c>
      <c r="G12" s="33">
        <v>32.46</v>
      </c>
      <c r="H12" s="37">
        <f t="shared" si="2"/>
        <v>32.46</v>
      </c>
      <c r="I12" s="33">
        <v>110.0</v>
      </c>
      <c r="J12" s="33">
        <v>300.4</v>
      </c>
      <c r="K12" s="37">
        <f t="shared" si="3"/>
        <v>410.4</v>
      </c>
      <c r="L12" s="33">
        <v>80.0</v>
      </c>
      <c r="M12" s="33">
        <v>346.41</v>
      </c>
      <c r="N12" s="37">
        <f t="shared" si="4"/>
        <v>426.41</v>
      </c>
      <c r="O12" s="7"/>
      <c r="P12" s="39">
        <f t="shared" si="5"/>
        <v>1311.87</v>
      </c>
    </row>
    <row r="13">
      <c r="A13" s="29" t="s">
        <v>21</v>
      </c>
      <c r="B13" s="31">
        <v>46091.0</v>
      </c>
      <c r="C13" s="33">
        <v>40.0</v>
      </c>
      <c r="D13" s="33">
        <v>687.46</v>
      </c>
      <c r="E13" s="37">
        <f t="shared" si="1"/>
        <v>727.46</v>
      </c>
      <c r="F13" s="33">
        <v>108.3</v>
      </c>
      <c r="G13" s="33">
        <v>119.08</v>
      </c>
      <c r="H13" s="37">
        <f t="shared" si="2"/>
        <v>227.38</v>
      </c>
      <c r="I13" s="33">
        <v>125.0</v>
      </c>
      <c r="J13" s="33">
        <v>319.31</v>
      </c>
      <c r="K13" s="37">
        <f t="shared" si="3"/>
        <v>444.31</v>
      </c>
      <c r="L13" s="33">
        <v>95.0</v>
      </c>
      <c r="M13" s="33">
        <v>196.2</v>
      </c>
      <c r="N13" s="37">
        <f t="shared" si="4"/>
        <v>291.2</v>
      </c>
      <c r="O13" s="7"/>
      <c r="P13" s="39">
        <f t="shared" si="5"/>
        <v>1690.35</v>
      </c>
    </row>
    <row r="14">
      <c r="A14" s="29" t="s">
        <v>24</v>
      </c>
      <c r="B14" s="31">
        <v>46092.0</v>
      </c>
      <c r="C14" s="33">
        <v>340.0</v>
      </c>
      <c r="D14" s="33">
        <v>173.21</v>
      </c>
      <c r="E14" s="37">
        <f t="shared" si="1"/>
        <v>513.21</v>
      </c>
      <c r="F14" s="33">
        <v>20.0</v>
      </c>
      <c r="G14" s="33">
        <v>191.04</v>
      </c>
      <c r="H14" s="37">
        <f t="shared" si="2"/>
        <v>211.04</v>
      </c>
      <c r="I14" s="33">
        <v>60.0</v>
      </c>
      <c r="J14" s="33">
        <v>259.79</v>
      </c>
      <c r="K14" s="37">
        <f t="shared" si="3"/>
        <v>319.79</v>
      </c>
      <c r="L14" s="33">
        <v>65.0</v>
      </c>
      <c r="M14" s="33">
        <v>27.06</v>
      </c>
      <c r="N14" s="37">
        <f t="shared" si="4"/>
        <v>92.06</v>
      </c>
      <c r="O14" s="7"/>
      <c r="P14" s="39">
        <f t="shared" si="5"/>
        <v>1136.1</v>
      </c>
    </row>
    <row r="15">
      <c r="A15" s="29" t="s">
        <v>26</v>
      </c>
      <c r="B15" s="31">
        <v>46093.0</v>
      </c>
      <c r="C15" s="33">
        <v>12.0</v>
      </c>
      <c r="D15" s="33">
        <v>562.9</v>
      </c>
      <c r="E15" s="37">
        <f t="shared" si="1"/>
        <v>574.9</v>
      </c>
      <c r="F15" s="33">
        <v>0.0</v>
      </c>
      <c r="G15" s="33">
        <v>285.52</v>
      </c>
      <c r="H15" s="37">
        <f t="shared" si="2"/>
        <v>285.52</v>
      </c>
      <c r="I15" s="33">
        <v>35.0</v>
      </c>
      <c r="J15" s="33">
        <v>259.8</v>
      </c>
      <c r="K15" s="37">
        <f t="shared" si="3"/>
        <v>294.8</v>
      </c>
      <c r="L15" s="33">
        <v>115.0</v>
      </c>
      <c r="M15" s="33">
        <v>348.29</v>
      </c>
      <c r="N15" s="37">
        <f t="shared" si="4"/>
        <v>463.29</v>
      </c>
      <c r="O15" s="7"/>
      <c r="P15" s="39">
        <f t="shared" si="5"/>
        <v>1618.51</v>
      </c>
    </row>
    <row r="16">
      <c r="A16" s="29" t="s">
        <v>14</v>
      </c>
      <c r="B16" s="31">
        <v>46094.0</v>
      </c>
      <c r="C16" s="33">
        <v>253.4</v>
      </c>
      <c r="D16" s="33">
        <v>913.65</v>
      </c>
      <c r="E16" s="37">
        <f t="shared" si="1"/>
        <v>1167.05</v>
      </c>
      <c r="F16" s="33">
        <v>60.0</v>
      </c>
      <c r="G16" s="33">
        <v>247.63</v>
      </c>
      <c r="H16" s="37">
        <f t="shared" si="2"/>
        <v>307.63</v>
      </c>
      <c r="I16" s="33">
        <v>20.0</v>
      </c>
      <c r="J16" s="33">
        <v>184.01</v>
      </c>
      <c r="K16" s="37">
        <f t="shared" si="3"/>
        <v>204.01</v>
      </c>
      <c r="L16" s="33">
        <v>25.0</v>
      </c>
      <c r="M16" s="33">
        <v>81.19</v>
      </c>
      <c r="N16" s="37">
        <f t="shared" si="4"/>
        <v>106.19</v>
      </c>
      <c r="O16" s="7"/>
      <c r="P16" s="39">
        <f t="shared" si="5"/>
        <v>1784.88</v>
      </c>
    </row>
    <row r="17">
      <c r="A17" s="29" t="s">
        <v>15</v>
      </c>
      <c r="B17" s="31">
        <v>46095.0</v>
      </c>
      <c r="C17" s="33">
        <v>253.22</v>
      </c>
      <c r="D17" s="33">
        <v>1844.98</v>
      </c>
      <c r="E17" s="37">
        <f t="shared" si="1"/>
        <v>2098.2</v>
      </c>
      <c r="F17" s="33">
        <v>60.0</v>
      </c>
      <c r="G17" s="33">
        <v>490.89</v>
      </c>
      <c r="H17" s="37">
        <f t="shared" si="2"/>
        <v>550.89</v>
      </c>
      <c r="I17" s="33">
        <v>55.0</v>
      </c>
      <c r="J17" s="33">
        <v>321.03</v>
      </c>
      <c r="K17" s="37">
        <f t="shared" si="3"/>
        <v>376.03</v>
      </c>
      <c r="L17" s="33">
        <v>70.0</v>
      </c>
      <c r="M17" s="33">
        <v>249.26</v>
      </c>
      <c r="N17" s="37">
        <f t="shared" si="4"/>
        <v>319.26</v>
      </c>
      <c r="O17" s="7"/>
      <c r="P17" s="39">
        <f t="shared" si="5"/>
        <v>3344.38</v>
      </c>
    </row>
    <row r="18">
      <c r="A18" s="29" t="s">
        <v>22</v>
      </c>
      <c r="B18" s="31">
        <v>46096.0</v>
      </c>
      <c r="C18" s="33">
        <v>527.38</v>
      </c>
      <c r="D18" s="33">
        <v>1480.2</v>
      </c>
      <c r="E18" s="37">
        <f t="shared" si="1"/>
        <v>2007.58</v>
      </c>
      <c r="F18" s="33">
        <v>50.0</v>
      </c>
      <c r="G18" s="33">
        <v>336.0</v>
      </c>
      <c r="H18" s="37">
        <f t="shared" si="2"/>
        <v>386</v>
      </c>
      <c r="I18" s="218">
        <v>270.0</v>
      </c>
      <c r="J18" s="218">
        <v>687.11</v>
      </c>
      <c r="K18" s="37">
        <f t="shared" si="3"/>
        <v>957.11</v>
      </c>
      <c r="L18" s="33">
        <v>320.0</v>
      </c>
      <c r="M18" s="33">
        <v>390.46</v>
      </c>
      <c r="N18" s="37">
        <f t="shared" si="4"/>
        <v>710.46</v>
      </c>
      <c r="O18" s="7"/>
      <c r="P18" s="39">
        <f t="shared" si="5"/>
        <v>4061.15</v>
      </c>
      <c r="Q18" s="219" t="s">
        <v>242</v>
      </c>
    </row>
    <row r="19">
      <c r="A19" s="29" t="s">
        <v>13</v>
      </c>
      <c r="B19" s="31">
        <v>46097.0</v>
      </c>
      <c r="C19" s="218">
        <v>256.97</v>
      </c>
      <c r="D19" s="218">
        <v>720.28</v>
      </c>
      <c r="E19" s="37">
        <f t="shared" si="1"/>
        <v>977.25</v>
      </c>
      <c r="F19" s="33">
        <v>190.0</v>
      </c>
      <c r="G19" s="33">
        <v>92.01</v>
      </c>
      <c r="H19" s="37">
        <f t="shared" si="2"/>
        <v>282.01</v>
      </c>
      <c r="I19" s="33">
        <v>0.0</v>
      </c>
      <c r="J19" s="33">
        <v>227.33</v>
      </c>
      <c r="K19" s="37">
        <f t="shared" si="3"/>
        <v>227.33</v>
      </c>
      <c r="L19" s="33">
        <v>122.0</v>
      </c>
      <c r="M19" s="33">
        <v>240.05</v>
      </c>
      <c r="N19" s="37">
        <f t="shared" si="4"/>
        <v>362.05</v>
      </c>
      <c r="O19" s="7"/>
      <c r="P19" s="39">
        <f t="shared" si="5"/>
        <v>1848.64</v>
      </c>
      <c r="Q19" s="219" t="s">
        <v>243</v>
      </c>
    </row>
    <row r="20">
      <c r="A20" s="29" t="s">
        <v>21</v>
      </c>
      <c r="B20" s="31">
        <v>46098.0</v>
      </c>
      <c r="C20" s="33">
        <v>26.0</v>
      </c>
      <c r="D20" s="33">
        <v>344.92</v>
      </c>
      <c r="E20" s="37">
        <f t="shared" si="1"/>
        <v>370.92</v>
      </c>
      <c r="F20" s="33">
        <v>120.0</v>
      </c>
      <c r="G20" s="44">
        <v>161.8</v>
      </c>
      <c r="H20" s="37">
        <f t="shared" si="2"/>
        <v>281.8</v>
      </c>
      <c r="I20" s="33">
        <v>85.0</v>
      </c>
      <c r="J20" s="33">
        <v>501.22</v>
      </c>
      <c r="K20" s="37">
        <f t="shared" si="3"/>
        <v>586.22</v>
      </c>
      <c r="L20" s="33">
        <v>75.0</v>
      </c>
      <c r="M20" s="33">
        <v>64.95</v>
      </c>
      <c r="N20" s="37">
        <f t="shared" si="4"/>
        <v>139.95</v>
      </c>
      <c r="O20" s="7"/>
      <c r="P20" s="39">
        <f t="shared" si="5"/>
        <v>1378.89</v>
      </c>
    </row>
    <row r="21">
      <c r="A21" s="29" t="s">
        <v>24</v>
      </c>
      <c r="B21" s="31">
        <v>46099.0</v>
      </c>
      <c r="C21" s="33">
        <v>190.0</v>
      </c>
      <c r="D21" s="33">
        <v>366.55</v>
      </c>
      <c r="E21" s="37">
        <f t="shared" si="1"/>
        <v>556.55</v>
      </c>
      <c r="F21" s="33">
        <v>173.0</v>
      </c>
      <c r="G21" s="33">
        <v>135.29</v>
      </c>
      <c r="H21" s="37">
        <f t="shared" si="2"/>
        <v>308.29</v>
      </c>
      <c r="I21" s="33">
        <v>15.0</v>
      </c>
      <c r="J21" s="33">
        <v>251.98</v>
      </c>
      <c r="K21" s="37">
        <f t="shared" si="3"/>
        <v>266.98</v>
      </c>
      <c r="L21" s="33">
        <v>15.0</v>
      </c>
      <c r="M21" s="33">
        <v>160.22</v>
      </c>
      <c r="N21" s="37">
        <f t="shared" si="4"/>
        <v>175.22</v>
      </c>
      <c r="O21" s="7"/>
      <c r="P21" s="39">
        <f t="shared" si="5"/>
        <v>1307.04</v>
      </c>
    </row>
    <row r="22">
      <c r="A22" s="29" t="s">
        <v>26</v>
      </c>
      <c r="B22" s="31">
        <v>46100.0</v>
      </c>
      <c r="C22" s="33">
        <v>280.0</v>
      </c>
      <c r="D22" s="33">
        <v>410.72</v>
      </c>
      <c r="E22" s="37">
        <f t="shared" si="1"/>
        <v>690.72</v>
      </c>
      <c r="F22" s="33">
        <v>20.0</v>
      </c>
      <c r="G22" s="33">
        <v>51.42</v>
      </c>
      <c r="H22" s="37">
        <f t="shared" si="2"/>
        <v>71.42</v>
      </c>
      <c r="I22" s="33">
        <v>0.0</v>
      </c>
      <c r="J22" s="33">
        <v>151.55</v>
      </c>
      <c r="K22" s="37">
        <f t="shared" si="3"/>
        <v>151.55</v>
      </c>
      <c r="L22" s="33">
        <v>135.0</v>
      </c>
      <c r="M22" s="33">
        <v>232.74</v>
      </c>
      <c r="N22" s="37">
        <f t="shared" si="4"/>
        <v>367.74</v>
      </c>
      <c r="O22" s="7"/>
      <c r="P22" s="39">
        <f t="shared" si="5"/>
        <v>1281.43</v>
      </c>
    </row>
    <row r="23">
      <c r="A23" s="29" t="s">
        <v>14</v>
      </c>
      <c r="B23" s="31">
        <v>46101.0</v>
      </c>
      <c r="C23" s="33">
        <v>36.24</v>
      </c>
      <c r="D23" s="33">
        <v>1241.67</v>
      </c>
      <c r="E23" s="37">
        <f t="shared" si="1"/>
        <v>1277.91</v>
      </c>
      <c r="F23" s="33">
        <v>20.0</v>
      </c>
      <c r="G23" s="33">
        <v>321.51</v>
      </c>
      <c r="H23" s="37">
        <f t="shared" si="2"/>
        <v>341.51</v>
      </c>
      <c r="I23" s="33">
        <v>65.0</v>
      </c>
      <c r="J23" s="33">
        <v>113.66</v>
      </c>
      <c r="K23" s="37">
        <f t="shared" si="3"/>
        <v>178.66</v>
      </c>
      <c r="L23" s="33">
        <v>0.0</v>
      </c>
      <c r="M23" s="33">
        <v>142.9</v>
      </c>
      <c r="N23" s="37">
        <f t="shared" si="4"/>
        <v>142.9</v>
      </c>
      <c r="O23" s="7"/>
      <c r="P23" s="39">
        <f t="shared" si="5"/>
        <v>1940.98</v>
      </c>
    </row>
    <row r="24">
      <c r="A24" s="29" t="s">
        <v>15</v>
      </c>
      <c r="B24" s="31">
        <v>46102.0</v>
      </c>
      <c r="C24" s="33">
        <v>300.19</v>
      </c>
      <c r="D24" s="33">
        <v>1511.72</v>
      </c>
      <c r="E24" s="37">
        <f t="shared" si="1"/>
        <v>1811.91</v>
      </c>
      <c r="F24" s="33">
        <v>120.0</v>
      </c>
      <c r="G24" s="33">
        <v>427.59</v>
      </c>
      <c r="H24" s="37">
        <f t="shared" si="2"/>
        <v>547.59</v>
      </c>
      <c r="I24" s="33">
        <v>170.0</v>
      </c>
      <c r="J24" s="33">
        <v>54.12</v>
      </c>
      <c r="K24" s="37">
        <f t="shared" si="3"/>
        <v>224.12</v>
      </c>
      <c r="L24" s="33">
        <v>239.54</v>
      </c>
      <c r="M24" s="33">
        <v>401.71</v>
      </c>
      <c r="N24" s="37">
        <f t="shared" si="4"/>
        <v>641.25</v>
      </c>
      <c r="O24" s="7"/>
      <c r="P24" s="39">
        <f t="shared" si="5"/>
        <v>3224.87</v>
      </c>
    </row>
    <row r="25">
      <c r="A25" s="29" t="s">
        <v>22</v>
      </c>
      <c r="B25" s="31">
        <v>46103.0</v>
      </c>
      <c r="C25" s="33">
        <v>85.0</v>
      </c>
      <c r="D25" s="33">
        <v>898.2</v>
      </c>
      <c r="E25" s="37">
        <f t="shared" si="1"/>
        <v>983.2</v>
      </c>
      <c r="F25" s="33">
        <v>45.0</v>
      </c>
      <c r="G25" s="33">
        <v>64.96</v>
      </c>
      <c r="H25" s="37">
        <f t="shared" si="2"/>
        <v>109.96</v>
      </c>
      <c r="I25" s="33">
        <v>130.0</v>
      </c>
      <c r="J25" s="33">
        <v>436.36</v>
      </c>
      <c r="K25" s="37">
        <f t="shared" si="3"/>
        <v>566.36</v>
      </c>
      <c r="L25" s="33">
        <v>0.0</v>
      </c>
      <c r="M25" s="33">
        <v>194.16</v>
      </c>
      <c r="N25" s="37">
        <f t="shared" si="4"/>
        <v>194.16</v>
      </c>
      <c r="O25" s="7"/>
      <c r="P25" s="39">
        <f t="shared" si="5"/>
        <v>1853.68</v>
      </c>
    </row>
    <row r="26">
      <c r="A26" s="29" t="s">
        <v>13</v>
      </c>
      <c r="B26" s="31">
        <v>46104.0</v>
      </c>
      <c r="C26" s="33">
        <v>35.0</v>
      </c>
      <c r="D26" s="33">
        <v>332.97</v>
      </c>
      <c r="E26" s="58">
        <f t="shared" si="1"/>
        <v>367.97</v>
      </c>
      <c r="F26" s="33">
        <v>30.0</v>
      </c>
      <c r="G26" s="33">
        <v>68.2</v>
      </c>
      <c r="H26" s="58">
        <f t="shared" si="2"/>
        <v>98.2</v>
      </c>
      <c r="I26" s="33">
        <v>25.0</v>
      </c>
      <c r="J26" s="33">
        <v>113.65</v>
      </c>
      <c r="K26" s="37">
        <f t="shared" si="3"/>
        <v>138.65</v>
      </c>
      <c r="L26" s="33">
        <v>25.0</v>
      </c>
      <c r="M26" s="33">
        <v>104.68</v>
      </c>
      <c r="N26" s="37">
        <f t="shared" si="4"/>
        <v>129.68</v>
      </c>
      <c r="O26" s="7"/>
      <c r="P26" s="39">
        <f t="shared" si="5"/>
        <v>734.5</v>
      </c>
    </row>
    <row r="27">
      <c r="A27" s="29" t="s">
        <v>21</v>
      </c>
      <c r="B27" s="31">
        <v>46105.0</v>
      </c>
      <c r="C27" s="33">
        <v>83.71</v>
      </c>
      <c r="D27" s="33">
        <v>845.54</v>
      </c>
      <c r="E27" s="58">
        <f t="shared" si="1"/>
        <v>929.25</v>
      </c>
      <c r="F27" s="33">
        <v>15.0</v>
      </c>
      <c r="G27" s="33">
        <v>81.19</v>
      </c>
      <c r="H27" s="58">
        <f t="shared" si="2"/>
        <v>96.19</v>
      </c>
      <c r="I27" s="33">
        <v>20.0</v>
      </c>
      <c r="J27" s="33">
        <v>254.94</v>
      </c>
      <c r="K27" s="37">
        <f t="shared" si="3"/>
        <v>274.94</v>
      </c>
      <c r="L27" s="33">
        <v>185.0</v>
      </c>
      <c r="M27" s="33">
        <v>71.45</v>
      </c>
      <c r="N27" s="37">
        <f t="shared" si="4"/>
        <v>256.45</v>
      </c>
      <c r="O27" s="7"/>
      <c r="P27" s="39">
        <f t="shared" si="5"/>
        <v>1556.83</v>
      </c>
    </row>
    <row r="28">
      <c r="A28" s="29" t="s">
        <v>24</v>
      </c>
      <c r="B28" s="31">
        <v>46106.0</v>
      </c>
      <c r="C28" s="33">
        <v>113.63</v>
      </c>
      <c r="D28" s="33">
        <v>106.36</v>
      </c>
      <c r="E28" s="58">
        <f t="shared" si="1"/>
        <v>219.99</v>
      </c>
      <c r="F28" s="33">
        <v>40.0</v>
      </c>
      <c r="G28" s="33">
        <v>94.73</v>
      </c>
      <c r="H28" s="58">
        <f t="shared" si="2"/>
        <v>134.73</v>
      </c>
      <c r="I28" s="33">
        <v>0.0</v>
      </c>
      <c r="J28" s="33">
        <v>388.21</v>
      </c>
      <c r="K28" s="37">
        <f t="shared" si="3"/>
        <v>388.21</v>
      </c>
      <c r="L28" s="33">
        <v>40.0</v>
      </c>
      <c r="M28" s="33">
        <v>102.83</v>
      </c>
      <c r="N28" s="37">
        <f t="shared" si="4"/>
        <v>142.83</v>
      </c>
      <c r="O28" s="7"/>
      <c r="P28" s="39">
        <f t="shared" si="5"/>
        <v>885.76</v>
      </c>
    </row>
    <row r="29">
      <c r="A29" s="29" t="s">
        <v>26</v>
      </c>
      <c r="B29" s="31">
        <v>46107.0</v>
      </c>
      <c r="C29" s="33">
        <v>259.44</v>
      </c>
      <c r="D29" s="33">
        <v>346.41</v>
      </c>
      <c r="E29" s="58">
        <f t="shared" si="1"/>
        <v>605.85</v>
      </c>
      <c r="F29" s="33">
        <v>75.0</v>
      </c>
      <c r="G29" s="33">
        <v>217.05</v>
      </c>
      <c r="H29" s="58">
        <f t="shared" si="2"/>
        <v>292.05</v>
      </c>
      <c r="I29" s="33">
        <v>35.0</v>
      </c>
      <c r="J29" s="33">
        <v>206.76</v>
      </c>
      <c r="K29" s="37">
        <f t="shared" si="3"/>
        <v>241.76</v>
      </c>
      <c r="L29" s="33">
        <v>30.0</v>
      </c>
      <c r="M29" s="33">
        <v>92.01</v>
      </c>
      <c r="N29" s="37">
        <f t="shared" si="4"/>
        <v>122.01</v>
      </c>
      <c r="O29" s="7"/>
      <c r="P29" s="39">
        <f t="shared" si="5"/>
        <v>1261.67</v>
      </c>
    </row>
    <row r="30">
      <c r="A30" s="29" t="s">
        <v>14</v>
      </c>
      <c r="B30" s="31">
        <v>46108.0</v>
      </c>
      <c r="C30" s="33">
        <v>29.99</v>
      </c>
      <c r="D30" s="33">
        <v>599.64</v>
      </c>
      <c r="E30" s="58">
        <f t="shared" si="1"/>
        <v>629.63</v>
      </c>
      <c r="F30" s="33">
        <v>30.0</v>
      </c>
      <c r="G30" s="33">
        <v>165.6</v>
      </c>
      <c r="H30" s="58">
        <f t="shared" si="2"/>
        <v>195.6</v>
      </c>
      <c r="I30" s="33">
        <v>38.99</v>
      </c>
      <c r="J30" s="33">
        <v>162.37</v>
      </c>
      <c r="K30" s="37">
        <f t="shared" si="3"/>
        <v>201.36</v>
      </c>
      <c r="L30" s="33">
        <v>0.0</v>
      </c>
      <c r="M30" s="33">
        <v>115.84</v>
      </c>
      <c r="N30" s="37">
        <f t="shared" si="4"/>
        <v>115.84</v>
      </c>
      <c r="O30" s="7"/>
      <c r="P30" s="39">
        <f t="shared" si="5"/>
        <v>1142.43</v>
      </c>
    </row>
    <row r="31">
      <c r="A31" s="29" t="s">
        <v>15</v>
      </c>
      <c r="B31" s="31">
        <v>46109.0</v>
      </c>
      <c r="C31" s="33">
        <v>442.01</v>
      </c>
      <c r="D31" s="33">
        <v>1399.09</v>
      </c>
      <c r="E31" s="58">
        <f t="shared" si="1"/>
        <v>1841.1</v>
      </c>
      <c r="F31" s="33">
        <v>70.0</v>
      </c>
      <c r="G31" s="33">
        <v>396.17</v>
      </c>
      <c r="H31" s="58">
        <f t="shared" si="2"/>
        <v>466.17</v>
      </c>
      <c r="I31" s="33">
        <v>132.0</v>
      </c>
      <c r="J31" s="33">
        <v>403.77</v>
      </c>
      <c r="K31" s="37">
        <f t="shared" si="3"/>
        <v>535.77</v>
      </c>
      <c r="L31" s="33">
        <v>215.0</v>
      </c>
      <c r="M31" s="33">
        <v>672.49</v>
      </c>
      <c r="N31" s="37">
        <f t="shared" si="4"/>
        <v>887.49</v>
      </c>
      <c r="O31" s="7"/>
      <c r="P31" s="39">
        <f t="shared" si="5"/>
        <v>3730.53</v>
      </c>
    </row>
    <row r="32">
      <c r="A32" s="29" t="s">
        <v>22</v>
      </c>
      <c r="B32" s="31">
        <v>46110.0</v>
      </c>
      <c r="C32" s="33">
        <v>262.79</v>
      </c>
      <c r="D32" s="60">
        <v>725.81</v>
      </c>
      <c r="E32" s="58">
        <f t="shared" si="1"/>
        <v>988.6</v>
      </c>
      <c r="F32" s="60">
        <v>135.0</v>
      </c>
      <c r="G32" s="60">
        <v>140.72</v>
      </c>
      <c r="H32" s="58">
        <f t="shared" si="2"/>
        <v>275.72</v>
      </c>
      <c r="I32" s="60">
        <v>137.0</v>
      </c>
      <c r="J32" s="60">
        <v>480.89</v>
      </c>
      <c r="K32" s="37">
        <f t="shared" si="3"/>
        <v>617.89</v>
      </c>
      <c r="L32" s="33">
        <v>150.0</v>
      </c>
      <c r="M32" s="60">
        <v>390.5</v>
      </c>
      <c r="N32" s="37">
        <f t="shared" si="4"/>
        <v>540.5</v>
      </c>
      <c r="O32" s="7"/>
      <c r="P32" s="39">
        <f t="shared" si="5"/>
        <v>2422.71</v>
      </c>
    </row>
    <row r="33">
      <c r="A33" s="29" t="s">
        <v>13</v>
      </c>
      <c r="B33" s="31">
        <v>46111.0</v>
      </c>
      <c r="C33" s="33">
        <v>609.65</v>
      </c>
      <c r="D33" s="60">
        <v>445.35</v>
      </c>
      <c r="E33" s="58">
        <f t="shared" si="1"/>
        <v>1055</v>
      </c>
      <c r="F33" s="60">
        <v>0.0</v>
      </c>
      <c r="G33" s="60">
        <v>92.02</v>
      </c>
      <c r="H33" s="58">
        <f t="shared" si="2"/>
        <v>92.02</v>
      </c>
      <c r="I33" s="60">
        <v>30.0</v>
      </c>
      <c r="J33" s="60">
        <v>200.26</v>
      </c>
      <c r="K33" s="37">
        <f t="shared" si="3"/>
        <v>230.26</v>
      </c>
      <c r="L33" s="60">
        <v>0.0</v>
      </c>
      <c r="M33" s="60">
        <v>54.13</v>
      </c>
      <c r="N33" s="37">
        <f t="shared" si="4"/>
        <v>54.13</v>
      </c>
      <c r="O33" s="7"/>
      <c r="P33" s="39">
        <f t="shared" si="5"/>
        <v>1431.41</v>
      </c>
    </row>
    <row r="34">
      <c r="A34" s="29" t="s">
        <v>21</v>
      </c>
      <c r="B34" s="31">
        <v>46112.0</v>
      </c>
      <c r="C34" s="33">
        <v>32.48</v>
      </c>
      <c r="D34" s="60">
        <v>205.3</v>
      </c>
      <c r="E34" s="58">
        <f t="shared" si="1"/>
        <v>237.78</v>
      </c>
      <c r="F34" s="60">
        <v>0.0</v>
      </c>
      <c r="G34" s="60">
        <v>43.3</v>
      </c>
      <c r="H34" s="58">
        <f t="shared" si="2"/>
        <v>43.3</v>
      </c>
      <c r="I34" s="60">
        <v>40.0</v>
      </c>
      <c r="J34" s="60">
        <v>0.0</v>
      </c>
      <c r="K34" s="37">
        <f t="shared" si="3"/>
        <v>40</v>
      </c>
      <c r="L34" s="60">
        <v>40.0</v>
      </c>
      <c r="M34" s="60">
        <v>48.72</v>
      </c>
      <c r="N34" s="37">
        <f t="shared" si="4"/>
        <v>88.72</v>
      </c>
      <c r="O34" s="7"/>
      <c r="P34" s="39">
        <f t="shared" si="5"/>
        <v>409.8</v>
      </c>
    </row>
    <row r="35">
      <c r="A35" s="7"/>
      <c r="B35" s="7"/>
      <c r="C35" s="61">
        <f t="shared" ref="C35:D35" si="6">SUM(C4:C34)</f>
        <v>5755.41</v>
      </c>
      <c r="D35" s="61">
        <f t="shared" si="6"/>
        <v>22079.29</v>
      </c>
      <c r="E35" s="62"/>
      <c r="F35" s="61">
        <f t="shared" ref="F35:G35" si="7">SUM(F4:F34)</f>
        <v>1742.3</v>
      </c>
      <c r="G35" s="61">
        <f t="shared" si="7"/>
        <v>6374.8</v>
      </c>
      <c r="H35" s="62"/>
      <c r="I35" s="61">
        <f t="shared" ref="I35:J35" si="8">SUM(I4:I34)</f>
        <v>2055.88</v>
      </c>
      <c r="J35" s="61">
        <f t="shared" si="8"/>
        <v>7849.14</v>
      </c>
      <c r="K35" s="62"/>
      <c r="L35" s="61">
        <f t="shared" ref="L35:M35" si="9">SUM(L4:L34)</f>
        <v>2636.46</v>
      </c>
      <c r="M35" s="61">
        <f t="shared" si="9"/>
        <v>6294.41</v>
      </c>
      <c r="N35" s="7"/>
      <c r="O35" s="7"/>
      <c r="P35" s="7"/>
    </row>
    <row r="36">
      <c r="A36" s="7"/>
      <c r="B36" s="7"/>
      <c r="C36" s="7"/>
      <c r="D36" s="64" t="s">
        <v>61</v>
      </c>
      <c r="E36" s="65">
        <f>SUM(E4:E34)</f>
        <v>27834.7</v>
      </c>
      <c r="F36" s="7"/>
      <c r="G36" s="64" t="s">
        <v>3</v>
      </c>
      <c r="H36" s="66">
        <f>SUM(H4:H34)</f>
        <v>8117.1</v>
      </c>
      <c r="I36" s="7"/>
      <c r="J36" s="64" t="s">
        <v>4</v>
      </c>
      <c r="K36" s="67">
        <f>SUM(K4:K34)</f>
        <v>9905.02</v>
      </c>
      <c r="L36" s="7"/>
      <c r="M36" s="64" t="s">
        <v>5</v>
      </c>
      <c r="N36" s="67">
        <f>SUM(N4:N34)</f>
        <v>8930.87</v>
      </c>
      <c r="O36" s="7"/>
      <c r="P36" s="225">
        <f>SUM(P4:P34)</f>
        <v>54787.69</v>
      </c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>
      <c r="A40" s="73"/>
      <c r="B40" s="74" t="s">
        <v>63</v>
      </c>
      <c r="C40" s="76">
        <f>C35+F35+I35+L35</f>
        <v>12190.05</v>
      </c>
      <c r="D40" s="7"/>
      <c r="E40" s="226" t="s">
        <v>246</v>
      </c>
      <c r="F40" s="226" t="s">
        <v>247</v>
      </c>
      <c r="G40" s="226" t="s">
        <v>248</v>
      </c>
      <c r="H40" s="226" t="s">
        <v>249</v>
      </c>
      <c r="I40" s="226" t="s">
        <v>250</v>
      </c>
      <c r="J40" s="226" t="s">
        <v>251</v>
      </c>
      <c r="K40" s="7"/>
      <c r="L40" s="7"/>
      <c r="M40" s="7"/>
      <c r="N40" s="7"/>
      <c r="O40" s="7"/>
      <c r="P40" s="7"/>
    </row>
    <row r="41">
      <c r="A41" s="73"/>
      <c r="B41" s="74" t="s">
        <v>64</v>
      </c>
      <c r="C41" s="76">
        <f>D35+G35+J35+M35</f>
        <v>42597.64</v>
      </c>
      <c r="D41" s="7"/>
      <c r="E41" s="227">
        <v>54787.69</v>
      </c>
      <c r="F41" s="56">
        <v>12190.05</v>
      </c>
      <c r="G41" s="56">
        <v>4742.06</v>
      </c>
      <c r="H41" s="56">
        <v>105.0</v>
      </c>
      <c r="I41" s="56">
        <v>11904.5</v>
      </c>
      <c r="J41" s="240"/>
      <c r="K41" s="241" t="s">
        <v>268</v>
      </c>
      <c r="L41" s="7"/>
      <c r="M41" s="7"/>
      <c r="N41" s="7"/>
      <c r="O41" s="7"/>
      <c r="P41" s="7"/>
    </row>
    <row r="42">
      <c r="A42" s="78"/>
      <c r="B42" s="78"/>
      <c r="C42" s="79"/>
      <c r="D42" s="7"/>
      <c r="E42" s="229"/>
      <c r="F42" s="230"/>
      <c r="G42" s="230"/>
      <c r="H42" s="230"/>
      <c r="I42" s="231"/>
      <c r="J42" s="232"/>
      <c r="K42" s="7"/>
      <c r="L42" s="7"/>
      <c r="M42" s="7"/>
      <c r="N42" s="7"/>
      <c r="O42" s="7"/>
      <c r="P42" s="7"/>
    </row>
    <row r="43">
      <c r="A43" s="80"/>
      <c r="B43" s="81" t="s">
        <v>65</v>
      </c>
      <c r="C43" s="67">
        <f>SUM(P4:P34)</f>
        <v>54787.69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50">
      <c r="A50" s="233" t="s">
        <v>0</v>
      </c>
      <c r="B50" s="233" t="s">
        <v>1</v>
      </c>
      <c r="C50" s="233" t="s">
        <v>11</v>
      </c>
      <c r="D50" s="233" t="s">
        <v>3</v>
      </c>
      <c r="E50" s="233" t="s">
        <v>4</v>
      </c>
      <c r="F50" s="233" t="s">
        <v>5</v>
      </c>
      <c r="G50" s="233" t="s">
        <v>12</v>
      </c>
    </row>
    <row r="51">
      <c r="A51" s="40" t="s">
        <v>22</v>
      </c>
      <c r="B51" s="95">
        <v>46082.0</v>
      </c>
      <c r="C51" s="234" t="s">
        <v>29</v>
      </c>
      <c r="D51" s="235" t="s">
        <v>276</v>
      </c>
      <c r="E51" s="236" t="s">
        <v>25</v>
      </c>
      <c r="F51" s="236" t="s">
        <v>49</v>
      </c>
      <c r="G51" s="44">
        <v>8.0</v>
      </c>
    </row>
    <row r="52">
      <c r="A52" s="40" t="s">
        <v>13</v>
      </c>
      <c r="B52" s="95">
        <v>46083.0</v>
      </c>
      <c r="C52" s="234" t="s">
        <v>29</v>
      </c>
      <c r="D52" s="235" t="s">
        <v>255</v>
      </c>
      <c r="E52" s="236" t="s">
        <v>277</v>
      </c>
      <c r="F52" s="236" t="s">
        <v>49</v>
      </c>
      <c r="G52" s="44">
        <v>10.0</v>
      </c>
    </row>
    <row r="53">
      <c r="A53" s="40" t="s">
        <v>21</v>
      </c>
      <c r="B53" s="95">
        <v>46084.0</v>
      </c>
      <c r="C53" s="234" t="s">
        <v>29</v>
      </c>
      <c r="D53" s="235" t="s">
        <v>277</v>
      </c>
      <c r="E53" s="236" t="s">
        <v>25</v>
      </c>
      <c r="F53" s="236" t="s">
        <v>277</v>
      </c>
      <c r="G53" s="44">
        <v>10.0</v>
      </c>
    </row>
    <row r="54">
      <c r="A54" s="40" t="s">
        <v>24</v>
      </c>
      <c r="B54" s="95">
        <v>46085.0</v>
      </c>
      <c r="C54" s="234" t="s">
        <v>29</v>
      </c>
      <c r="D54" s="235" t="s">
        <v>276</v>
      </c>
      <c r="E54" s="236" t="s">
        <v>255</v>
      </c>
      <c r="F54" s="236" t="s">
        <v>277</v>
      </c>
      <c r="G54" s="44">
        <v>10.0</v>
      </c>
    </row>
    <row r="55">
      <c r="A55" s="40" t="s">
        <v>26</v>
      </c>
      <c r="B55" s="95">
        <v>46086.0</v>
      </c>
      <c r="C55" s="234" t="s">
        <v>29</v>
      </c>
      <c r="D55" s="235" t="s">
        <v>276</v>
      </c>
      <c r="E55" s="236" t="s">
        <v>25</v>
      </c>
      <c r="F55" s="236" t="s">
        <v>256</v>
      </c>
      <c r="G55" s="44">
        <v>10.0</v>
      </c>
    </row>
    <row r="56">
      <c r="A56" s="40" t="s">
        <v>14</v>
      </c>
      <c r="B56" s="95">
        <v>46087.0</v>
      </c>
      <c r="C56" s="234" t="s">
        <v>29</v>
      </c>
      <c r="D56" s="235" t="s">
        <v>276</v>
      </c>
      <c r="E56" s="236" t="s">
        <v>256</v>
      </c>
      <c r="F56" s="236" t="s">
        <v>255</v>
      </c>
      <c r="G56" s="44">
        <v>11.0</v>
      </c>
    </row>
    <row r="57">
      <c r="A57" s="40" t="s">
        <v>15</v>
      </c>
      <c r="B57" s="95">
        <v>46088.0</v>
      </c>
      <c r="C57" s="234" t="s">
        <v>29</v>
      </c>
      <c r="D57" s="235" t="s">
        <v>276</v>
      </c>
      <c r="E57" s="236" t="s">
        <v>255</v>
      </c>
      <c r="F57" s="236" t="s">
        <v>256</v>
      </c>
      <c r="G57" s="44">
        <v>11.0</v>
      </c>
    </row>
    <row r="58">
      <c r="A58" s="40" t="s">
        <v>22</v>
      </c>
      <c r="B58" s="95">
        <v>46089.0</v>
      </c>
      <c r="C58" s="234" t="s">
        <v>29</v>
      </c>
      <c r="D58" s="235" t="s">
        <v>276</v>
      </c>
      <c r="E58" s="237" t="s">
        <v>284</v>
      </c>
      <c r="F58" s="236" t="s">
        <v>255</v>
      </c>
      <c r="G58" s="44">
        <v>8.0</v>
      </c>
    </row>
    <row r="59">
      <c r="A59" s="40" t="s">
        <v>13</v>
      </c>
      <c r="B59" s="95">
        <v>46090.0</v>
      </c>
      <c r="C59" s="234" t="s">
        <v>29</v>
      </c>
      <c r="D59" s="235" t="s">
        <v>255</v>
      </c>
      <c r="E59" s="236" t="s">
        <v>25</v>
      </c>
      <c r="F59" s="236" t="s">
        <v>256</v>
      </c>
      <c r="G59" s="44">
        <v>10.0</v>
      </c>
    </row>
    <row r="60">
      <c r="A60" s="40" t="s">
        <v>21</v>
      </c>
      <c r="B60" s="95">
        <v>46091.0</v>
      </c>
      <c r="C60" s="234" t="s">
        <v>29</v>
      </c>
      <c r="D60" s="236" t="s">
        <v>256</v>
      </c>
      <c r="E60" s="235" t="s">
        <v>276</v>
      </c>
      <c r="F60" s="236" t="s">
        <v>25</v>
      </c>
      <c r="G60" s="44">
        <v>10.0</v>
      </c>
    </row>
    <row r="61">
      <c r="A61" s="40" t="s">
        <v>24</v>
      </c>
      <c r="B61" s="95">
        <v>46092.0</v>
      </c>
      <c r="C61" s="238" t="s">
        <v>286</v>
      </c>
      <c r="D61" s="235" t="s">
        <v>276</v>
      </c>
      <c r="E61" s="236" t="s">
        <v>256</v>
      </c>
      <c r="F61" s="236" t="s">
        <v>255</v>
      </c>
      <c r="G61" s="44">
        <v>10.0</v>
      </c>
    </row>
    <row r="62">
      <c r="A62" s="40" t="s">
        <v>26</v>
      </c>
      <c r="B62" s="95">
        <v>46093.0</v>
      </c>
      <c r="C62" s="234" t="s">
        <v>29</v>
      </c>
      <c r="D62" s="236" t="s">
        <v>256</v>
      </c>
      <c r="E62" s="235" t="s">
        <v>276</v>
      </c>
      <c r="F62" s="237" t="s">
        <v>287</v>
      </c>
      <c r="G62" s="44">
        <v>10.0</v>
      </c>
    </row>
    <row r="63">
      <c r="A63" s="40" t="s">
        <v>14</v>
      </c>
      <c r="B63" s="95">
        <v>46094.0</v>
      </c>
      <c r="C63" s="234" t="s">
        <v>29</v>
      </c>
      <c r="D63" s="236" t="s">
        <v>256</v>
      </c>
      <c r="E63" s="235" t="s">
        <v>255</v>
      </c>
      <c r="F63" s="44" t="s">
        <v>277</v>
      </c>
      <c r="G63" s="44">
        <v>11.0</v>
      </c>
    </row>
    <row r="64">
      <c r="A64" s="40" t="s">
        <v>15</v>
      </c>
      <c r="B64" s="95">
        <v>46095.0</v>
      </c>
      <c r="C64" s="234" t="s">
        <v>29</v>
      </c>
      <c r="D64" s="236" t="s">
        <v>255</v>
      </c>
      <c r="E64" s="235" t="s">
        <v>276</v>
      </c>
      <c r="F64" s="236" t="s">
        <v>256</v>
      </c>
      <c r="G64" s="44">
        <v>11.0</v>
      </c>
    </row>
    <row r="65">
      <c r="A65" s="40" t="s">
        <v>22</v>
      </c>
      <c r="B65" s="95">
        <v>46096.0</v>
      </c>
      <c r="C65" s="234" t="s">
        <v>29</v>
      </c>
      <c r="D65" s="236" t="s">
        <v>255</v>
      </c>
      <c r="E65" s="235" t="s">
        <v>276</v>
      </c>
      <c r="F65" s="236" t="s">
        <v>256</v>
      </c>
      <c r="G65" s="248">
        <v>8.0</v>
      </c>
    </row>
    <row r="66">
      <c r="A66" s="40" t="s">
        <v>13</v>
      </c>
      <c r="B66" s="95">
        <v>46097.0</v>
      </c>
      <c r="C66" s="234" t="s">
        <v>29</v>
      </c>
      <c r="D66" s="236" t="s">
        <v>255</v>
      </c>
      <c r="E66" s="236" t="s">
        <v>277</v>
      </c>
      <c r="F66" s="236" t="s">
        <v>256</v>
      </c>
      <c r="G66" s="211">
        <v>10.0</v>
      </c>
    </row>
    <row r="67">
      <c r="A67" s="40" t="s">
        <v>21</v>
      </c>
      <c r="B67" s="95">
        <v>46098.0</v>
      </c>
      <c r="C67" s="234" t="s">
        <v>29</v>
      </c>
      <c r="D67" s="235" t="s">
        <v>255</v>
      </c>
      <c r="E67" s="236" t="s">
        <v>25</v>
      </c>
      <c r="F67" s="236" t="s">
        <v>256</v>
      </c>
      <c r="G67" s="211">
        <v>10.0</v>
      </c>
    </row>
    <row r="68">
      <c r="A68" s="40" t="s">
        <v>24</v>
      </c>
      <c r="B68" s="95">
        <v>46099.0</v>
      </c>
      <c r="C68" s="249" t="s">
        <v>295</v>
      </c>
      <c r="D68" s="237" t="s">
        <v>296</v>
      </c>
      <c r="E68" s="236" t="s">
        <v>25</v>
      </c>
      <c r="F68" s="236" t="s">
        <v>256</v>
      </c>
      <c r="G68" s="211">
        <v>10.0</v>
      </c>
    </row>
    <row r="69">
      <c r="A69" s="40" t="s">
        <v>26</v>
      </c>
      <c r="B69" s="95">
        <v>46100.0</v>
      </c>
      <c r="C69" s="234" t="s">
        <v>29</v>
      </c>
      <c r="D69" s="235" t="s">
        <v>255</v>
      </c>
      <c r="E69" s="236" t="s">
        <v>25</v>
      </c>
      <c r="F69" s="236" t="s">
        <v>277</v>
      </c>
      <c r="G69" s="211">
        <v>10.0</v>
      </c>
    </row>
    <row r="70">
      <c r="A70" s="40" t="s">
        <v>14</v>
      </c>
      <c r="B70" s="95">
        <v>46101.0</v>
      </c>
      <c r="C70" s="234" t="s">
        <v>29</v>
      </c>
      <c r="D70" s="236" t="s">
        <v>257</v>
      </c>
      <c r="E70" s="236" t="s">
        <v>256</v>
      </c>
      <c r="F70" s="236" t="s">
        <v>49</v>
      </c>
      <c r="G70" s="211">
        <v>11.0</v>
      </c>
    </row>
    <row r="71">
      <c r="A71" s="40" t="s">
        <v>15</v>
      </c>
      <c r="B71" s="95">
        <v>46102.0</v>
      </c>
      <c r="C71" s="234" t="s">
        <v>29</v>
      </c>
      <c r="D71" s="235" t="s">
        <v>255</v>
      </c>
      <c r="E71" s="236" t="s">
        <v>277</v>
      </c>
      <c r="F71" s="237" t="s">
        <v>304</v>
      </c>
      <c r="G71" s="211">
        <v>11.0</v>
      </c>
    </row>
    <row r="72">
      <c r="A72" s="40" t="s">
        <v>22</v>
      </c>
      <c r="B72" s="95">
        <v>46103.0</v>
      </c>
      <c r="C72" s="234" t="s">
        <v>29</v>
      </c>
      <c r="D72" s="255" t="s">
        <v>306</v>
      </c>
      <c r="E72" s="237" t="s">
        <v>307</v>
      </c>
      <c r="F72" s="255" t="s">
        <v>309</v>
      </c>
      <c r="G72" s="211">
        <v>8.0</v>
      </c>
    </row>
    <row r="73">
      <c r="A73" s="40" t="s">
        <v>13</v>
      </c>
      <c r="B73" s="95">
        <v>46104.0</v>
      </c>
      <c r="C73" s="234" t="s">
        <v>29</v>
      </c>
      <c r="D73" s="237" t="s">
        <v>311</v>
      </c>
      <c r="E73" s="236" t="s">
        <v>255</v>
      </c>
      <c r="F73" s="236" t="s">
        <v>256</v>
      </c>
      <c r="G73" s="211">
        <v>10.0</v>
      </c>
    </row>
    <row r="74">
      <c r="A74" s="40" t="s">
        <v>21</v>
      </c>
      <c r="B74" s="95">
        <v>46105.0</v>
      </c>
      <c r="C74" s="234" t="s">
        <v>29</v>
      </c>
      <c r="D74" s="236" t="s">
        <v>257</v>
      </c>
      <c r="E74" s="236" t="s">
        <v>25</v>
      </c>
      <c r="F74" s="236" t="s">
        <v>256</v>
      </c>
      <c r="G74" s="211">
        <v>10.0</v>
      </c>
    </row>
    <row r="75">
      <c r="A75" s="40" t="s">
        <v>24</v>
      </c>
      <c r="B75" s="95">
        <v>46106.0</v>
      </c>
      <c r="C75" s="238" t="s">
        <v>313</v>
      </c>
      <c r="D75" s="235" t="s">
        <v>255</v>
      </c>
      <c r="E75" s="236" t="s">
        <v>25</v>
      </c>
      <c r="F75" s="236" t="s">
        <v>256</v>
      </c>
      <c r="G75" s="211">
        <v>10.0</v>
      </c>
    </row>
    <row r="76">
      <c r="A76" s="40" t="s">
        <v>26</v>
      </c>
      <c r="B76" s="95">
        <v>46107.0</v>
      </c>
      <c r="C76" s="234" t="s">
        <v>29</v>
      </c>
      <c r="D76" s="236" t="s">
        <v>257</v>
      </c>
      <c r="E76" s="236" t="s">
        <v>25</v>
      </c>
      <c r="F76" s="236" t="s">
        <v>256</v>
      </c>
      <c r="G76" s="211">
        <v>10.0</v>
      </c>
    </row>
    <row r="77">
      <c r="A77" s="40" t="s">
        <v>14</v>
      </c>
      <c r="B77" s="95">
        <v>46108.0</v>
      </c>
      <c r="C77" s="234" t="s">
        <v>29</v>
      </c>
      <c r="D77" s="237" t="s">
        <v>319</v>
      </c>
      <c r="E77" s="236" t="s">
        <v>255</v>
      </c>
      <c r="F77" s="236" t="s">
        <v>256</v>
      </c>
      <c r="G77" s="211">
        <v>11.0</v>
      </c>
    </row>
    <row r="78">
      <c r="A78" s="40" t="s">
        <v>15</v>
      </c>
      <c r="B78" s="95">
        <v>46109.0</v>
      </c>
      <c r="C78" s="234" t="s">
        <v>29</v>
      </c>
      <c r="D78" s="235" t="s">
        <v>255</v>
      </c>
      <c r="E78" s="236" t="s">
        <v>19</v>
      </c>
      <c r="F78" s="236" t="s">
        <v>256</v>
      </c>
      <c r="G78" s="211">
        <v>11.0</v>
      </c>
    </row>
    <row r="79">
      <c r="A79" s="40" t="s">
        <v>22</v>
      </c>
      <c r="B79" s="95">
        <v>46110.0</v>
      </c>
      <c r="C79" s="238" t="s">
        <v>325</v>
      </c>
      <c r="D79" s="235" t="s">
        <v>255</v>
      </c>
      <c r="E79" s="236" t="s">
        <v>19</v>
      </c>
      <c r="F79" s="236" t="s">
        <v>256</v>
      </c>
      <c r="G79" s="211">
        <v>8.0</v>
      </c>
    </row>
    <row r="80">
      <c r="A80" s="40" t="s">
        <v>13</v>
      </c>
      <c r="B80" s="95">
        <v>46111.0</v>
      </c>
      <c r="C80" s="264" t="s">
        <v>19</v>
      </c>
      <c r="D80" s="235" t="s">
        <v>18</v>
      </c>
      <c r="E80" s="237" t="s">
        <v>327</v>
      </c>
      <c r="F80" s="236" t="s">
        <v>256</v>
      </c>
      <c r="G80" s="44">
        <v>10.0</v>
      </c>
    </row>
    <row r="81">
      <c r="A81" s="40" t="s">
        <v>21</v>
      </c>
      <c r="B81" s="95">
        <v>46112.0</v>
      </c>
      <c r="C81" s="239" t="s">
        <v>329</v>
      </c>
      <c r="D81" s="237" t="s">
        <v>330</v>
      </c>
      <c r="E81" s="237" t="s">
        <v>331</v>
      </c>
      <c r="F81" s="237" t="s">
        <v>332</v>
      </c>
      <c r="G81" s="44">
        <v>10.0</v>
      </c>
    </row>
    <row r="82">
      <c r="A82" s="69"/>
      <c r="B82" s="69"/>
      <c r="C82" s="69"/>
      <c r="D82" s="69"/>
      <c r="E82" s="69"/>
      <c r="F82" s="69"/>
      <c r="G82" s="69"/>
    </row>
    <row r="83">
      <c r="A83" s="69"/>
      <c r="B83" s="69"/>
      <c r="C83" s="69"/>
      <c r="D83" s="69"/>
      <c r="E83" s="69"/>
      <c r="F83" s="69"/>
      <c r="G83" s="69"/>
    </row>
    <row r="84">
      <c r="A84" s="69"/>
      <c r="B84" s="69"/>
      <c r="C84" s="69">
        <f>IFERROR(__xludf.DUMMYFUNCTION("SUM(ARRAYFORMULA(IFERROR(VALUE(REGEXREPLACE(C51:C81,""[^\d]"","""")),0)))"),4525.0)</f>
        <v>4525</v>
      </c>
      <c r="D84" s="69">
        <f>IFERROR(__xludf.DUMMYFUNCTION("SUM(ARRAYFORMULA(IFERROR(VALUE(REGEXREPLACE(D51:D81,""[^\d]"","""")),0)))"),2347.0)</f>
        <v>2347</v>
      </c>
      <c r="E84" s="69">
        <f>IFERROR(__xludf.DUMMYFUNCTION("SUM(ARRAYFORMULA(IFERROR(VALUE(REGEXREPLACE(E51:E81,""[^\d]"","""")),0)))"),2120.0)</f>
        <v>2120</v>
      </c>
      <c r="F84" s="69">
        <f>IFERROR(__xludf.DUMMYFUNCTION("SUM(ARRAYFORMULA(IFERROR(VALUE(REGEXREPLACE(F51:F81,""[^\d]"","""")),0)))"),2912.0)</f>
        <v>2912</v>
      </c>
      <c r="G84" s="69">
        <f>SUM(G51:G81)</f>
        <v>308</v>
      </c>
    </row>
    <row r="86">
      <c r="A86" s="124" t="s">
        <v>92</v>
      </c>
      <c r="B86" s="125">
        <f>SUM(C84+D84+E84+F84)</f>
        <v>11904</v>
      </c>
    </row>
    <row r="89">
      <c r="A89" s="271"/>
      <c r="B89" s="271" t="s">
        <v>12</v>
      </c>
      <c r="C89" s="271" t="s">
        <v>294</v>
      </c>
      <c r="E89" s="250" t="s">
        <v>152</v>
      </c>
      <c r="F89" s="251" t="s">
        <v>298</v>
      </c>
      <c r="G89" s="251" t="s">
        <v>153</v>
      </c>
      <c r="H89" s="250" t="s">
        <v>155</v>
      </c>
    </row>
    <row r="90">
      <c r="A90" s="44" t="s">
        <v>289</v>
      </c>
      <c r="B90" s="44">
        <v>252.0</v>
      </c>
      <c r="C90" s="44">
        <v>2772.0</v>
      </c>
      <c r="E90" s="253" t="s">
        <v>256</v>
      </c>
      <c r="F90" s="261" t="s">
        <v>363</v>
      </c>
      <c r="G90" s="259" t="s">
        <v>364</v>
      </c>
      <c r="H90" s="261" t="s">
        <v>365</v>
      </c>
    </row>
    <row r="91">
      <c r="A91" s="44" t="s">
        <v>297</v>
      </c>
      <c r="B91" s="44">
        <v>39.0</v>
      </c>
      <c r="C91" s="44">
        <v>390.0</v>
      </c>
      <c r="E91" s="253" t="s">
        <v>159</v>
      </c>
      <c r="F91" s="258">
        <v>46092.0</v>
      </c>
      <c r="G91" s="259" t="s">
        <v>367</v>
      </c>
      <c r="H91" s="254" t="s">
        <v>368</v>
      </c>
    </row>
    <row r="92">
      <c r="A92" s="44" t="s">
        <v>301</v>
      </c>
      <c r="B92" s="44">
        <v>107.0</v>
      </c>
      <c r="C92" s="44">
        <v>1337.5</v>
      </c>
      <c r="E92" s="253" t="s">
        <v>25</v>
      </c>
      <c r="F92" s="261" t="s">
        <v>369</v>
      </c>
      <c r="G92" s="254" t="s">
        <v>370</v>
      </c>
      <c r="H92" s="261" t="s">
        <v>371</v>
      </c>
    </row>
    <row r="93">
      <c r="A93" s="44" t="s">
        <v>302</v>
      </c>
      <c r="B93" s="44">
        <v>219.0</v>
      </c>
      <c r="C93" s="44">
        <v>2410.0</v>
      </c>
      <c r="E93" s="253" t="s">
        <v>49</v>
      </c>
      <c r="F93" s="258">
        <v>46113.0</v>
      </c>
      <c r="G93" s="259" t="s">
        <v>372</v>
      </c>
      <c r="H93" s="262">
        <v>390.0</v>
      </c>
    </row>
    <row r="94">
      <c r="A94" s="44" t="s">
        <v>373</v>
      </c>
      <c r="B94" s="44">
        <v>42.0</v>
      </c>
      <c r="C94" s="44">
        <v>420.0</v>
      </c>
      <c r="E94" s="159" t="s">
        <v>171</v>
      </c>
      <c r="F94" s="265"/>
      <c r="G94" s="266" t="s">
        <v>374</v>
      </c>
      <c r="H94" s="266" t="s">
        <v>375</v>
      </c>
    </row>
    <row r="95">
      <c r="A95" s="44" t="s">
        <v>108</v>
      </c>
      <c r="B95" s="264" t="s">
        <v>376</v>
      </c>
      <c r="C95" s="44" t="s">
        <v>377</v>
      </c>
      <c r="E95" s="159" t="s">
        <v>19</v>
      </c>
      <c r="F95" s="258">
        <v>46113.0</v>
      </c>
      <c r="G95" s="266" t="s">
        <v>372</v>
      </c>
      <c r="H95" s="266">
        <v>390.0</v>
      </c>
    </row>
    <row r="96">
      <c r="A96" s="44" t="s">
        <v>339</v>
      </c>
      <c r="B96" s="44">
        <v>20.0</v>
      </c>
      <c r="C96" s="44">
        <v>200.0</v>
      </c>
      <c r="E96" s="159" t="s">
        <v>18</v>
      </c>
      <c r="F96" s="258">
        <v>46113.0</v>
      </c>
      <c r="G96" s="266" t="s">
        <v>349</v>
      </c>
      <c r="H96" s="266">
        <v>200.0</v>
      </c>
    </row>
    <row r="97">
      <c r="A97" s="44" t="s">
        <v>119</v>
      </c>
      <c r="B97" s="44">
        <v>128.0</v>
      </c>
      <c r="C97" s="44">
        <v>1280.0</v>
      </c>
      <c r="E97" s="159" t="s">
        <v>257</v>
      </c>
      <c r="F97" s="258">
        <v>46113.0</v>
      </c>
      <c r="G97" s="266" t="s">
        <v>378</v>
      </c>
      <c r="H97" s="266">
        <v>420.0</v>
      </c>
    </row>
    <row r="98">
      <c r="A98" s="44" t="s">
        <v>19</v>
      </c>
      <c r="B98" s="44">
        <v>39.0</v>
      </c>
      <c r="C98" s="44">
        <v>390.0</v>
      </c>
      <c r="E98" s="159" t="s">
        <v>255</v>
      </c>
      <c r="F98" s="266" t="s">
        <v>379</v>
      </c>
      <c r="G98" s="266" t="s">
        <v>380</v>
      </c>
      <c r="H98" s="266" t="s">
        <v>381</v>
      </c>
    </row>
    <row r="99">
      <c r="A99" s="44" t="s">
        <v>11</v>
      </c>
      <c r="C99" s="44">
        <v>105.0</v>
      </c>
      <c r="E99" s="267" t="s">
        <v>276</v>
      </c>
      <c r="F99" s="268">
        <v>46099.0</v>
      </c>
      <c r="G99" s="267" t="s">
        <v>382</v>
      </c>
      <c r="H99" s="267">
        <v>1337.5</v>
      </c>
    </row>
    <row r="100">
      <c r="E100" s="272"/>
      <c r="F100" s="272"/>
      <c r="G100" s="272"/>
      <c r="H100" s="272"/>
    </row>
    <row r="101">
      <c r="A101" s="269" t="s">
        <v>351</v>
      </c>
      <c r="B101" s="270"/>
      <c r="C101" s="270">
        <f>IFERROR(__xludf.DUMMYFUNCTION("SUM(
  SPLIT(
    TEXTJOIN(""+"", TRUE, C90:C100),
    ""+""
  )
)"),11904.5)</f>
        <v>11904.5</v>
      </c>
      <c r="E101" s="273" t="s">
        <v>176</v>
      </c>
      <c r="F101" s="274"/>
      <c r="G101" s="274"/>
      <c r="H101" s="105">
        <f>IFERROR(__xludf.DUMMYFUNCTION("SUM(
  SPLIT(
    TEXTJOIN(""+"", TRUE, H90:H100),
    ""+""
  )
)"),11904.5)</f>
        <v>11904.5</v>
      </c>
    </row>
    <row r="103">
      <c r="A103" s="276" t="s">
        <v>366</v>
      </c>
      <c r="B103" s="158"/>
    </row>
    <row r="168">
      <c r="J168" s="283"/>
      <c r="K168" s="284"/>
      <c r="L168" s="284"/>
    </row>
    <row r="169">
      <c r="J169" s="285"/>
      <c r="K169" s="284"/>
      <c r="L169" s="284"/>
    </row>
    <row r="170">
      <c r="J170" s="283"/>
      <c r="K170" s="284"/>
      <c r="L170" s="284"/>
    </row>
  </sheetData>
  <autoFilter ref="$D$51:$F$81"/>
  <mergeCells count="6">
    <mergeCell ref="B1:C1"/>
    <mergeCell ref="B2:B3"/>
    <mergeCell ref="C2:E2"/>
    <mergeCell ref="F2:H2"/>
    <mergeCell ref="I2:K2"/>
    <mergeCell ref="L2:N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5" max="5" width="18.25"/>
    <col customWidth="1" min="6" max="6" width="20.38"/>
    <col customWidth="1" min="10" max="10" width="16.88"/>
    <col customWidth="1" min="16" max="16" width="20.5"/>
    <col customWidth="1" min="17" max="17" width="35.63"/>
  </cols>
  <sheetData>
    <row r="1">
      <c r="A1" s="215"/>
    </row>
    <row r="2">
      <c r="A2" s="215">
        <v>46054.0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>
      <c r="A3" s="214" t="s">
        <v>1</v>
      </c>
      <c r="B3" s="15" t="s">
        <v>2</v>
      </c>
      <c r="C3" s="4"/>
      <c r="D3" s="6"/>
      <c r="E3" s="19" t="s">
        <v>3</v>
      </c>
      <c r="F3" s="4"/>
      <c r="G3" s="6"/>
      <c r="H3" s="21" t="s">
        <v>4</v>
      </c>
      <c r="I3" s="4"/>
      <c r="J3" s="6"/>
      <c r="K3" s="24" t="s">
        <v>5</v>
      </c>
      <c r="L3" s="4"/>
      <c r="M3" s="6"/>
      <c r="N3" s="7"/>
      <c r="O3" s="7"/>
    </row>
    <row r="4">
      <c r="A4" s="16"/>
      <c r="B4" s="27" t="s">
        <v>8</v>
      </c>
      <c r="C4" s="27" t="s">
        <v>9</v>
      </c>
      <c r="D4" s="27" t="s">
        <v>10</v>
      </c>
      <c r="E4" s="28" t="s">
        <v>8</v>
      </c>
      <c r="F4" s="28" t="s">
        <v>9</v>
      </c>
      <c r="G4" s="28" t="s">
        <v>10</v>
      </c>
      <c r="H4" s="30" t="s">
        <v>8</v>
      </c>
      <c r="I4" s="30" t="s">
        <v>9</v>
      </c>
      <c r="J4" s="30" t="s">
        <v>10</v>
      </c>
      <c r="K4" s="32" t="s">
        <v>8</v>
      </c>
      <c r="L4" s="32" t="s">
        <v>9</v>
      </c>
      <c r="M4" s="32" t="s">
        <v>10</v>
      </c>
      <c r="N4" s="7"/>
      <c r="O4" s="26" t="s">
        <v>6</v>
      </c>
    </row>
    <row r="5">
      <c r="A5" s="31">
        <v>46054.0</v>
      </c>
      <c r="B5" s="33">
        <v>125.36</v>
      </c>
      <c r="C5" s="33">
        <v>960.39</v>
      </c>
      <c r="D5" s="36">
        <f t="shared" ref="D5:D35" si="1">B5+C5</f>
        <v>1085.75</v>
      </c>
      <c r="E5" s="33">
        <v>95.0</v>
      </c>
      <c r="F5" s="33">
        <v>198.54</v>
      </c>
      <c r="G5" s="37">
        <f t="shared" ref="G5:G32" si="2">E5+F5</f>
        <v>293.54</v>
      </c>
      <c r="H5" s="33">
        <v>20.0</v>
      </c>
      <c r="I5" s="33">
        <v>123.67</v>
      </c>
      <c r="J5" s="37">
        <f t="shared" ref="J5:J32" si="3">H5+I5</f>
        <v>143.67</v>
      </c>
      <c r="K5" s="33">
        <v>120.0</v>
      </c>
      <c r="L5" s="33">
        <v>194.59</v>
      </c>
      <c r="M5" s="37">
        <f t="shared" ref="M5:M32" si="4">K5+L5</f>
        <v>314.59</v>
      </c>
      <c r="N5" s="7"/>
      <c r="O5" s="39">
        <f t="shared" ref="O5:O35" si="5">SUM(D5+G5+J5+M5)</f>
        <v>1837.55</v>
      </c>
    </row>
    <row r="6">
      <c r="A6" s="31">
        <v>46055.0</v>
      </c>
      <c r="B6" s="221">
        <v>160.0</v>
      </c>
      <c r="C6" s="221">
        <v>515.11</v>
      </c>
      <c r="D6" s="51">
        <f t="shared" si="1"/>
        <v>675.11</v>
      </c>
      <c r="E6" s="33">
        <v>20.0</v>
      </c>
      <c r="F6" s="33">
        <v>76.78</v>
      </c>
      <c r="G6" s="37">
        <f t="shared" si="2"/>
        <v>96.78</v>
      </c>
      <c r="H6" s="218">
        <v>0.0</v>
      </c>
      <c r="I6" s="218">
        <v>115.24</v>
      </c>
      <c r="J6" s="37">
        <f t="shared" si="3"/>
        <v>115.24</v>
      </c>
      <c r="K6" s="33">
        <v>20.0</v>
      </c>
      <c r="L6" s="33">
        <v>151.55</v>
      </c>
      <c r="M6" s="37">
        <f t="shared" si="4"/>
        <v>171.55</v>
      </c>
      <c r="N6" s="7"/>
      <c r="O6" s="52">
        <f t="shared" si="5"/>
        <v>1058.68</v>
      </c>
      <c r="P6" s="222" t="s">
        <v>240</v>
      </c>
    </row>
    <row r="7">
      <c r="A7" s="31">
        <v>46056.0</v>
      </c>
      <c r="B7" s="223">
        <v>192.42</v>
      </c>
      <c r="C7" s="221">
        <v>487.82</v>
      </c>
      <c r="D7" s="51">
        <f t="shared" si="1"/>
        <v>680.24</v>
      </c>
      <c r="E7" s="33">
        <v>20.0</v>
      </c>
      <c r="F7" s="33">
        <v>144.95</v>
      </c>
      <c r="G7" s="37">
        <f t="shared" si="2"/>
        <v>164.95</v>
      </c>
      <c r="H7" s="33">
        <v>36.65</v>
      </c>
      <c r="I7" s="33">
        <v>124.48</v>
      </c>
      <c r="J7" s="37">
        <f t="shared" si="3"/>
        <v>161.13</v>
      </c>
      <c r="K7" s="33">
        <v>100.0</v>
      </c>
      <c r="L7" s="33">
        <v>0.0</v>
      </c>
      <c r="M7" s="37">
        <f t="shared" si="4"/>
        <v>100</v>
      </c>
      <c r="N7" s="7"/>
      <c r="O7" s="52">
        <f t="shared" si="5"/>
        <v>1106.32</v>
      </c>
      <c r="P7" s="222" t="s">
        <v>241</v>
      </c>
    </row>
    <row r="8">
      <c r="A8" s="31">
        <v>46057.0</v>
      </c>
      <c r="B8" s="221">
        <v>96.0</v>
      </c>
      <c r="C8" s="224">
        <v>920.97</v>
      </c>
      <c r="D8" s="51">
        <f t="shared" si="1"/>
        <v>1016.97</v>
      </c>
      <c r="E8" s="33">
        <v>131.06</v>
      </c>
      <c r="F8" s="33">
        <v>0.0</v>
      </c>
      <c r="G8" s="37">
        <f t="shared" si="2"/>
        <v>131.06</v>
      </c>
      <c r="H8" s="33">
        <v>20.0</v>
      </c>
      <c r="I8" s="33">
        <v>396.29</v>
      </c>
      <c r="J8" s="37">
        <f t="shared" si="3"/>
        <v>416.29</v>
      </c>
      <c r="K8" s="33">
        <v>0.0</v>
      </c>
      <c r="L8" s="33">
        <v>0.0</v>
      </c>
      <c r="M8" s="37">
        <f t="shared" si="4"/>
        <v>0</v>
      </c>
      <c r="N8" s="7"/>
      <c r="O8" s="52">
        <f t="shared" si="5"/>
        <v>1564.32</v>
      </c>
    </row>
    <row r="9">
      <c r="A9" s="31">
        <v>46058.0</v>
      </c>
      <c r="B9" s="33">
        <v>198.71</v>
      </c>
      <c r="C9" s="33">
        <v>453.58</v>
      </c>
      <c r="D9" s="37">
        <f t="shared" si="1"/>
        <v>652.29</v>
      </c>
      <c r="E9" s="33">
        <v>100.0</v>
      </c>
      <c r="F9" s="33">
        <v>59.54</v>
      </c>
      <c r="G9" s="37">
        <f t="shared" si="2"/>
        <v>159.54</v>
      </c>
      <c r="H9" s="33">
        <v>100.0</v>
      </c>
      <c r="I9" s="33">
        <v>70.36</v>
      </c>
      <c r="J9" s="37">
        <f t="shared" si="3"/>
        <v>170.36</v>
      </c>
      <c r="K9" s="33">
        <v>0.0</v>
      </c>
      <c r="L9" s="33">
        <v>308.51</v>
      </c>
      <c r="M9" s="37">
        <f t="shared" si="4"/>
        <v>308.51</v>
      </c>
      <c r="N9" s="7"/>
      <c r="O9" s="39">
        <f t="shared" si="5"/>
        <v>1290.7</v>
      </c>
    </row>
    <row r="10">
      <c r="A10" s="31">
        <v>46059.0</v>
      </c>
      <c r="B10" s="33">
        <v>50.0</v>
      </c>
      <c r="C10" s="33">
        <v>440.94</v>
      </c>
      <c r="D10" s="37">
        <f t="shared" si="1"/>
        <v>490.94</v>
      </c>
      <c r="E10" s="33">
        <v>85.0</v>
      </c>
      <c r="F10" s="33">
        <v>251.1</v>
      </c>
      <c r="G10" s="37">
        <f t="shared" si="2"/>
        <v>336.1</v>
      </c>
      <c r="H10" s="33">
        <v>20.0</v>
      </c>
      <c r="I10" s="33">
        <v>135.31</v>
      </c>
      <c r="J10" s="37">
        <f t="shared" si="3"/>
        <v>155.31</v>
      </c>
      <c r="K10" s="33">
        <v>50.0</v>
      </c>
      <c r="L10" s="33">
        <v>122.33</v>
      </c>
      <c r="M10" s="37">
        <f t="shared" si="4"/>
        <v>172.33</v>
      </c>
      <c r="N10" s="7"/>
      <c r="O10" s="39">
        <f t="shared" si="5"/>
        <v>1154.68</v>
      </c>
    </row>
    <row r="11">
      <c r="A11" s="31">
        <v>46060.0</v>
      </c>
      <c r="B11" s="33">
        <v>60.0</v>
      </c>
      <c r="C11" s="33">
        <v>1664.03</v>
      </c>
      <c r="D11" s="37">
        <f t="shared" si="1"/>
        <v>1724.03</v>
      </c>
      <c r="E11" s="33">
        <v>213.0</v>
      </c>
      <c r="F11" s="33">
        <v>358.19</v>
      </c>
      <c r="G11" s="37">
        <f t="shared" si="2"/>
        <v>571.19</v>
      </c>
      <c r="H11" s="33">
        <v>254.25</v>
      </c>
      <c r="I11" s="33">
        <v>336.72</v>
      </c>
      <c r="J11" s="37">
        <f t="shared" si="3"/>
        <v>590.97</v>
      </c>
      <c r="K11" s="33">
        <v>190.0</v>
      </c>
      <c r="L11" s="33">
        <v>179.17</v>
      </c>
      <c r="M11" s="37">
        <f t="shared" si="4"/>
        <v>369.17</v>
      </c>
      <c r="N11" s="7"/>
      <c r="O11" s="39">
        <f t="shared" si="5"/>
        <v>3255.36</v>
      </c>
    </row>
    <row r="12">
      <c r="A12" s="31">
        <v>46061.0</v>
      </c>
      <c r="B12" s="33">
        <v>389.65</v>
      </c>
      <c r="C12" s="33">
        <v>627.53</v>
      </c>
      <c r="D12" s="37">
        <f t="shared" si="1"/>
        <v>1017.18</v>
      </c>
      <c r="E12" s="33">
        <v>280.0</v>
      </c>
      <c r="F12" s="33">
        <v>168.53</v>
      </c>
      <c r="G12" s="37">
        <f t="shared" si="2"/>
        <v>448.53</v>
      </c>
      <c r="H12" s="33">
        <v>150.0</v>
      </c>
      <c r="I12" s="33">
        <v>59.54</v>
      </c>
      <c r="J12" s="37">
        <f t="shared" si="3"/>
        <v>209.54</v>
      </c>
      <c r="K12" s="33">
        <v>80.0</v>
      </c>
      <c r="L12" s="33">
        <v>48.7</v>
      </c>
      <c r="M12" s="37">
        <f t="shared" si="4"/>
        <v>128.7</v>
      </c>
      <c r="N12" s="7"/>
      <c r="O12" s="39">
        <f t="shared" si="5"/>
        <v>1803.95</v>
      </c>
    </row>
    <row r="13">
      <c r="A13" s="31">
        <v>46062.0</v>
      </c>
      <c r="B13" s="33">
        <v>57.06</v>
      </c>
      <c r="C13" s="33">
        <v>154.79</v>
      </c>
      <c r="D13" s="37">
        <f t="shared" si="1"/>
        <v>211.85</v>
      </c>
      <c r="E13" s="33">
        <v>15.0</v>
      </c>
      <c r="F13" s="33">
        <v>86.6</v>
      </c>
      <c r="G13" s="37">
        <f t="shared" si="2"/>
        <v>101.6</v>
      </c>
      <c r="H13" s="33">
        <v>20.0</v>
      </c>
      <c r="I13" s="33">
        <v>89.04</v>
      </c>
      <c r="J13" s="37">
        <f t="shared" si="3"/>
        <v>109.04</v>
      </c>
      <c r="K13" s="33">
        <v>0.0</v>
      </c>
      <c r="L13" s="33">
        <v>43.3</v>
      </c>
      <c r="M13" s="37">
        <f t="shared" si="4"/>
        <v>43.3</v>
      </c>
      <c r="N13" s="7"/>
      <c r="O13" s="39">
        <f t="shared" si="5"/>
        <v>465.79</v>
      </c>
    </row>
    <row r="14">
      <c r="A14" s="31">
        <v>46063.0</v>
      </c>
      <c r="B14" s="33">
        <v>23.0</v>
      </c>
      <c r="C14" s="33">
        <v>314.97</v>
      </c>
      <c r="D14" s="37">
        <f t="shared" si="1"/>
        <v>337.97</v>
      </c>
      <c r="E14" s="33">
        <v>20.0</v>
      </c>
      <c r="F14" s="33">
        <v>21.65</v>
      </c>
      <c r="G14" s="37">
        <f t="shared" si="2"/>
        <v>41.65</v>
      </c>
      <c r="H14" s="33">
        <v>20.0</v>
      </c>
      <c r="I14" s="33">
        <v>28.15</v>
      </c>
      <c r="J14" s="37">
        <f t="shared" si="3"/>
        <v>48.15</v>
      </c>
      <c r="K14" s="33">
        <v>43.3</v>
      </c>
      <c r="L14" s="33">
        <v>89.85</v>
      </c>
      <c r="M14" s="37">
        <f t="shared" si="4"/>
        <v>133.15</v>
      </c>
      <c r="N14" s="7"/>
      <c r="O14" s="39">
        <f t="shared" si="5"/>
        <v>560.92</v>
      </c>
    </row>
    <row r="15">
      <c r="A15" s="31">
        <v>46064.0</v>
      </c>
      <c r="B15" s="33">
        <v>20.0</v>
      </c>
      <c r="C15" s="33">
        <v>586.71</v>
      </c>
      <c r="D15" s="37">
        <f t="shared" si="1"/>
        <v>606.71</v>
      </c>
      <c r="E15" s="33">
        <v>40.0</v>
      </c>
      <c r="F15" s="33">
        <v>156.93</v>
      </c>
      <c r="G15" s="37">
        <f t="shared" si="2"/>
        <v>196.93</v>
      </c>
      <c r="H15" s="33">
        <v>65.0</v>
      </c>
      <c r="I15" s="33">
        <v>70.36</v>
      </c>
      <c r="J15" s="37">
        <f t="shared" si="3"/>
        <v>135.36</v>
      </c>
      <c r="K15" s="33">
        <v>15.0</v>
      </c>
      <c r="L15" s="33">
        <v>114.85</v>
      </c>
      <c r="M15" s="37">
        <f t="shared" si="4"/>
        <v>129.85</v>
      </c>
      <c r="N15" s="7"/>
      <c r="O15" s="39">
        <f t="shared" si="5"/>
        <v>1068.85</v>
      </c>
      <c r="P15" s="219" t="s">
        <v>244</v>
      </c>
    </row>
    <row r="16">
      <c r="A16" s="31">
        <v>46065.0</v>
      </c>
      <c r="B16" s="218">
        <v>159.0</v>
      </c>
      <c r="C16" s="218">
        <v>557.17</v>
      </c>
      <c r="D16" s="37">
        <f t="shared" si="1"/>
        <v>716.17</v>
      </c>
      <c r="E16" s="33">
        <v>0.0</v>
      </c>
      <c r="F16" s="33">
        <v>137.45</v>
      </c>
      <c r="G16" s="37">
        <f t="shared" si="2"/>
        <v>137.45</v>
      </c>
      <c r="H16" s="33">
        <v>50.0</v>
      </c>
      <c r="I16" s="33">
        <v>21.65</v>
      </c>
      <c r="J16" s="37">
        <f t="shared" si="3"/>
        <v>71.65</v>
      </c>
      <c r="K16" s="33">
        <v>0.0</v>
      </c>
      <c r="L16" s="33">
        <v>95.37</v>
      </c>
      <c r="M16" s="37">
        <f t="shared" si="4"/>
        <v>95.37</v>
      </c>
      <c r="N16" s="7"/>
      <c r="O16" s="39">
        <f t="shared" si="5"/>
        <v>1020.64</v>
      </c>
      <c r="P16" s="219" t="s">
        <v>245</v>
      </c>
    </row>
    <row r="17">
      <c r="A17" s="31">
        <v>46066.0</v>
      </c>
      <c r="B17" s="33">
        <v>172.47</v>
      </c>
      <c r="C17" s="33">
        <v>435.73</v>
      </c>
      <c r="D17" s="37">
        <f t="shared" si="1"/>
        <v>608.2</v>
      </c>
      <c r="E17" s="33">
        <v>40.0</v>
      </c>
      <c r="F17" s="33">
        <v>410.81</v>
      </c>
      <c r="G17" s="37">
        <f t="shared" si="2"/>
        <v>450.81</v>
      </c>
      <c r="H17" s="33">
        <v>10.0</v>
      </c>
      <c r="I17" s="33">
        <v>129.87</v>
      </c>
      <c r="J17" s="37">
        <f t="shared" si="3"/>
        <v>139.87</v>
      </c>
      <c r="K17" s="33">
        <v>45.0</v>
      </c>
      <c r="L17" s="33">
        <v>92.02</v>
      </c>
      <c r="M17" s="37">
        <f t="shared" si="4"/>
        <v>137.02</v>
      </c>
      <c r="N17" s="7"/>
      <c r="O17" s="39">
        <f t="shared" si="5"/>
        <v>1335.9</v>
      </c>
    </row>
    <row r="18">
      <c r="A18" s="31">
        <v>46067.0</v>
      </c>
      <c r="B18" s="33">
        <v>260.19</v>
      </c>
      <c r="C18" s="33">
        <v>1407.47</v>
      </c>
      <c r="D18" s="37">
        <f t="shared" si="1"/>
        <v>1667.66</v>
      </c>
      <c r="E18" s="33">
        <v>20.0</v>
      </c>
      <c r="F18" s="33">
        <v>721.13</v>
      </c>
      <c r="G18" s="37">
        <f t="shared" si="2"/>
        <v>741.13</v>
      </c>
      <c r="H18" s="33">
        <v>25.0</v>
      </c>
      <c r="I18" s="33">
        <v>349.32</v>
      </c>
      <c r="J18" s="37">
        <f t="shared" si="3"/>
        <v>374.32</v>
      </c>
      <c r="K18" s="33">
        <v>100.0</v>
      </c>
      <c r="L18" s="33">
        <v>175.13</v>
      </c>
      <c r="M18" s="37">
        <f t="shared" si="4"/>
        <v>275.13</v>
      </c>
      <c r="N18" s="7"/>
      <c r="O18" s="39">
        <f t="shared" si="5"/>
        <v>3058.24</v>
      </c>
    </row>
    <row r="19">
      <c r="A19" s="31">
        <v>46068.0</v>
      </c>
      <c r="B19" s="33">
        <v>368.51</v>
      </c>
      <c r="C19" s="33">
        <v>1186.32</v>
      </c>
      <c r="D19" s="37">
        <f t="shared" si="1"/>
        <v>1554.83</v>
      </c>
      <c r="E19" s="33">
        <v>55.0</v>
      </c>
      <c r="F19" s="33">
        <v>334.19</v>
      </c>
      <c r="G19" s="37">
        <f t="shared" si="2"/>
        <v>389.19</v>
      </c>
      <c r="H19" s="33">
        <v>199.98</v>
      </c>
      <c r="I19" s="33">
        <v>202.54</v>
      </c>
      <c r="J19" s="37">
        <f t="shared" si="3"/>
        <v>402.52</v>
      </c>
      <c r="K19" s="33">
        <v>15.0</v>
      </c>
      <c r="L19" s="33">
        <v>258.2</v>
      </c>
      <c r="M19" s="37">
        <f t="shared" si="4"/>
        <v>273.2</v>
      </c>
      <c r="N19" s="7"/>
      <c r="O19" s="39">
        <f t="shared" si="5"/>
        <v>2619.74</v>
      </c>
    </row>
    <row r="20">
      <c r="A20" s="31">
        <v>46069.0</v>
      </c>
      <c r="B20" s="33">
        <v>236.65</v>
      </c>
      <c r="C20" s="33">
        <v>444.75</v>
      </c>
      <c r="D20" s="37">
        <f t="shared" si="1"/>
        <v>681.4</v>
      </c>
      <c r="E20" s="33">
        <v>65.0</v>
      </c>
      <c r="F20" s="33">
        <v>238.15</v>
      </c>
      <c r="G20" s="37">
        <f t="shared" si="2"/>
        <v>303.15</v>
      </c>
      <c r="H20" s="33">
        <v>0.0</v>
      </c>
      <c r="I20" s="33">
        <v>167.78</v>
      </c>
      <c r="J20" s="37">
        <f t="shared" si="3"/>
        <v>167.78</v>
      </c>
      <c r="K20" s="33">
        <v>36.24</v>
      </c>
      <c r="L20" s="33">
        <v>124.5</v>
      </c>
      <c r="M20" s="37">
        <f t="shared" si="4"/>
        <v>160.74</v>
      </c>
      <c r="N20" s="7"/>
      <c r="O20" s="39">
        <f t="shared" si="5"/>
        <v>1313.07</v>
      </c>
    </row>
    <row r="21">
      <c r="A21" s="31">
        <v>46070.0</v>
      </c>
      <c r="B21" s="33">
        <v>20.0</v>
      </c>
      <c r="C21" s="33">
        <v>421.1</v>
      </c>
      <c r="D21" s="37">
        <f t="shared" si="1"/>
        <v>441.1</v>
      </c>
      <c r="E21" s="33">
        <v>0.0</v>
      </c>
      <c r="F21" s="33">
        <v>140.67</v>
      </c>
      <c r="G21" s="37">
        <f t="shared" si="2"/>
        <v>140.67</v>
      </c>
      <c r="H21" s="33">
        <v>15.0</v>
      </c>
      <c r="I21" s="33">
        <v>201.58</v>
      </c>
      <c r="J21" s="37">
        <f t="shared" si="3"/>
        <v>216.58</v>
      </c>
      <c r="K21" s="33">
        <v>0.0</v>
      </c>
      <c r="L21" s="33">
        <v>59.54</v>
      </c>
      <c r="M21" s="37">
        <f t="shared" si="4"/>
        <v>59.54</v>
      </c>
      <c r="N21" s="7"/>
      <c r="O21" s="39">
        <f t="shared" si="5"/>
        <v>857.89</v>
      </c>
    </row>
    <row r="22">
      <c r="A22" s="31">
        <v>46071.0</v>
      </c>
      <c r="B22" s="33">
        <v>140.0</v>
      </c>
      <c r="C22" s="33">
        <v>685.5</v>
      </c>
      <c r="D22" s="37">
        <f t="shared" si="1"/>
        <v>825.5</v>
      </c>
      <c r="E22" s="33">
        <v>170.0</v>
      </c>
      <c r="F22" s="33">
        <v>32.46</v>
      </c>
      <c r="G22" s="37">
        <f t="shared" si="2"/>
        <v>202.46</v>
      </c>
      <c r="H22" s="33">
        <v>200.0</v>
      </c>
      <c r="I22" s="33">
        <v>152.53</v>
      </c>
      <c r="J22" s="37">
        <f t="shared" si="3"/>
        <v>352.53</v>
      </c>
      <c r="K22" s="113"/>
      <c r="L22" s="33">
        <v>56.02</v>
      </c>
      <c r="M22" s="37">
        <f t="shared" si="4"/>
        <v>56.02</v>
      </c>
      <c r="N22" s="7"/>
      <c r="O22" s="39">
        <f t="shared" si="5"/>
        <v>1436.51</v>
      </c>
    </row>
    <row r="23">
      <c r="A23" s="31">
        <v>46072.0</v>
      </c>
      <c r="B23" s="44">
        <v>214.95</v>
      </c>
      <c r="C23" s="33">
        <v>532.75</v>
      </c>
      <c r="D23" s="37">
        <f t="shared" si="1"/>
        <v>747.7</v>
      </c>
      <c r="E23" s="33">
        <v>0.0</v>
      </c>
      <c r="F23" s="33">
        <v>259.76</v>
      </c>
      <c r="G23" s="37">
        <f t="shared" si="2"/>
        <v>259.76</v>
      </c>
      <c r="H23" s="33">
        <v>72.06</v>
      </c>
      <c r="I23" s="33">
        <v>102.84</v>
      </c>
      <c r="J23" s="37">
        <f t="shared" si="3"/>
        <v>174.9</v>
      </c>
      <c r="K23" s="33">
        <v>280.0</v>
      </c>
      <c r="L23" s="33">
        <v>39.34</v>
      </c>
      <c r="M23" s="37">
        <f t="shared" si="4"/>
        <v>319.34</v>
      </c>
      <c r="N23" s="7"/>
      <c r="O23" s="39">
        <f t="shared" si="5"/>
        <v>1501.7</v>
      </c>
    </row>
    <row r="24">
      <c r="A24" s="31">
        <v>46073.0</v>
      </c>
      <c r="B24" s="33">
        <v>70.0</v>
      </c>
      <c r="C24" s="33">
        <v>676.57</v>
      </c>
      <c r="D24" s="37">
        <f t="shared" si="1"/>
        <v>746.57</v>
      </c>
      <c r="E24" s="33">
        <v>55.0</v>
      </c>
      <c r="F24" s="33">
        <v>140.68</v>
      </c>
      <c r="G24" s="37">
        <f t="shared" si="2"/>
        <v>195.68</v>
      </c>
      <c r="H24" s="33">
        <v>0.0</v>
      </c>
      <c r="I24" s="33">
        <v>218.91</v>
      </c>
      <c r="J24" s="37">
        <f t="shared" si="3"/>
        <v>218.91</v>
      </c>
      <c r="K24" s="33">
        <v>177.44</v>
      </c>
      <c r="L24" s="33">
        <v>448.18</v>
      </c>
      <c r="M24" s="37">
        <f t="shared" si="4"/>
        <v>625.62</v>
      </c>
      <c r="N24" s="7"/>
      <c r="O24" s="39">
        <f t="shared" si="5"/>
        <v>1786.78</v>
      </c>
    </row>
    <row r="25">
      <c r="A25" s="31">
        <v>46074.0</v>
      </c>
      <c r="B25" s="33">
        <v>315.0</v>
      </c>
      <c r="C25" s="33">
        <v>1094.93</v>
      </c>
      <c r="D25" s="37">
        <f t="shared" si="1"/>
        <v>1409.93</v>
      </c>
      <c r="E25" s="33">
        <v>200.0</v>
      </c>
      <c r="F25" s="33">
        <v>456.71</v>
      </c>
      <c r="G25" s="37">
        <f t="shared" si="2"/>
        <v>656.71</v>
      </c>
      <c r="H25" s="33">
        <v>20.0</v>
      </c>
      <c r="I25" s="33">
        <v>406.43</v>
      </c>
      <c r="J25" s="37">
        <f t="shared" si="3"/>
        <v>426.43</v>
      </c>
      <c r="K25" s="33">
        <v>290.32</v>
      </c>
      <c r="L25" s="33">
        <v>791.51</v>
      </c>
      <c r="M25" s="37">
        <f t="shared" si="4"/>
        <v>1081.83</v>
      </c>
      <c r="N25" s="7"/>
      <c r="O25" s="39">
        <f t="shared" si="5"/>
        <v>3574.9</v>
      </c>
    </row>
    <row r="26">
      <c r="A26" s="31">
        <v>46075.0</v>
      </c>
      <c r="B26" s="33">
        <v>145.68</v>
      </c>
      <c r="C26" s="33">
        <v>1139.27</v>
      </c>
      <c r="D26" s="37">
        <f t="shared" si="1"/>
        <v>1284.95</v>
      </c>
      <c r="E26" s="33">
        <v>100.0</v>
      </c>
      <c r="F26" s="33">
        <v>226.71</v>
      </c>
      <c r="G26" s="37">
        <f t="shared" si="2"/>
        <v>326.71</v>
      </c>
      <c r="H26" s="33">
        <v>125.0</v>
      </c>
      <c r="I26" s="33">
        <v>125.46</v>
      </c>
      <c r="J26" s="37">
        <f t="shared" si="3"/>
        <v>250.46</v>
      </c>
      <c r="K26" s="33">
        <v>124.49</v>
      </c>
      <c r="L26" s="33">
        <v>491.06</v>
      </c>
      <c r="M26" s="37">
        <f t="shared" si="4"/>
        <v>615.55</v>
      </c>
      <c r="N26" s="7"/>
      <c r="O26" s="39">
        <f t="shared" si="5"/>
        <v>2477.67</v>
      </c>
    </row>
    <row r="27">
      <c r="A27" s="31">
        <v>46076.0</v>
      </c>
      <c r="B27" s="33">
        <v>30.0</v>
      </c>
      <c r="C27" s="33">
        <v>461.69</v>
      </c>
      <c r="D27" s="37">
        <f t="shared" si="1"/>
        <v>491.69</v>
      </c>
      <c r="E27" s="33">
        <v>35.0</v>
      </c>
      <c r="F27" s="33">
        <v>198.89</v>
      </c>
      <c r="G27" s="58">
        <f t="shared" si="2"/>
        <v>233.89</v>
      </c>
      <c r="H27" s="33">
        <v>77.48</v>
      </c>
      <c r="I27" s="33">
        <v>108.26</v>
      </c>
      <c r="J27" s="37">
        <f t="shared" si="3"/>
        <v>185.74</v>
      </c>
      <c r="K27" s="33">
        <v>0.0</v>
      </c>
      <c r="L27" s="33">
        <v>162.48</v>
      </c>
      <c r="M27" s="37">
        <f t="shared" si="4"/>
        <v>162.48</v>
      </c>
      <c r="N27" s="7"/>
      <c r="O27" s="39">
        <f t="shared" si="5"/>
        <v>1073.8</v>
      </c>
    </row>
    <row r="28">
      <c r="A28" s="31">
        <v>46077.0</v>
      </c>
      <c r="B28" s="218">
        <v>68.2</v>
      </c>
      <c r="C28" s="218">
        <v>588.42</v>
      </c>
      <c r="D28" s="37">
        <f t="shared" si="1"/>
        <v>656.62</v>
      </c>
      <c r="E28" s="33">
        <v>85.0</v>
      </c>
      <c r="F28" s="33">
        <v>16.24</v>
      </c>
      <c r="G28" s="58">
        <f t="shared" si="2"/>
        <v>101.24</v>
      </c>
      <c r="H28" s="33">
        <v>56.75</v>
      </c>
      <c r="I28" s="33">
        <v>71.45</v>
      </c>
      <c r="J28" s="37">
        <f t="shared" si="3"/>
        <v>128.2</v>
      </c>
      <c r="K28" s="33">
        <v>43.3</v>
      </c>
      <c r="L28" s="33">
        <v>0.0</v>
      </c>
      <c r="M28" s="37">
        <f t="shared" si="4"/>
        <v>43.3</v>
      </c>
      <c r="N28" s="7"/>
      <c r="O28" s="39">
        <f t="shared" si="5"/>
        <v>929.36</v>
      </c>
      <c r="P28" s="219" t="s">
        <v>253</v>
      </c>
    </row>
    <row r="29">
      <c r="A29" s="31">
        <v>46078.0</v>
      </c>
      <c r="B29" s="218">
        <v>275.0</v>
      </c>
      <c r="C29" s="218">
        <v>867.22</v>
      </c>
      <c r="D29" s="37">
        <f t="shared" si="1"/>
        <v>1142.22</v>
      </c>
      <c r="E29" s="33">
        <v>40.0</v>
      </c>
      <c r="F29" s="33">
        <v>130.14</v>
      </c>
      <c r="G29" s="58">
        <f t="shared" si="2"/>
        <v>170.14</v>
      </c>
      <c r="H29" s="33">
        <v>50.0</v>
      </c>
      <c r="I29" s="33">
        <v>276.05</v>
      </c>
      <c r="J29" s="37">
        <f t="shared" si="3"/>
        <v>326.05</v>
      </c>
      <c r="K29" s="33">
        <v>25.0</v>
      </c>
      <c r="L29" s="33">
        <v>21.65</v>
      </c>
      <c r="M29" s="37">
        <f t="shared" si="4"/>
        <v>46.65</v>
      </c>
      <c r="N29" s="7"/>
      <c r="O29" s="39">
        <f t="shared" si="5"/>
        <v>1685.06</v>
      </c>
      <c r="P29" s="219" t="s">
        <v>254</v>
      </c>
    </row>
    <row r="30">
      <c r="A30" s="31">
        <v>46079.0</v>
      </c>
      <c r="B30" s="33">
        <v>130.0</v>
      </c>
      <c r="C30" s="33">
        <v>470.89</v>
      </c>
      <c r="D30" s="37">
        <f t="shared" si="1"/>
        <v>600.89</v>
      </c>
      <c r="E30" s="33">
        <v>110.0</v>
      </c>
      <c r="F30" s="33">
        <v>420.94</v>
      </c>
      <c r="G30" s="58">
        <f t="shared" si="2"/>
        <v>530.94</v>
      </c>
      <c r="H30" s="33">
        <v>0.0</v>
      </c>
      <c r="I30" s="33">
        <v>135.33</v>
      </c>
      <c r="J30" s="37">
        <f t="shared" si="3"/>
        <v>135.33</v>
      </c>
      <c r="K30" s="33">
        <v>0.0</v>
      </c>
      <c r="L30" s="33">
        <v>649.62</v>
      </c>
      <c r="M30" s="37">
        <f t="shared" si="4"/>
        <v>649.62</v>
      </c>
      <c r="N30" s="7"/>
      <c r="O30" s="39">
        <f t="shared" si="5"/>
        <v>1916.78</v>
      </c>
    </row>
    <row r="31">
      <c r="A31" s="31">
        <v>46080.0</v>
      </c>
      <c r="B31" s="33">
        <v>121.74</v>
      </c>
      <c r="C31" s="33">
        <v>692.31</v>
      </c>
      <c r="D31" s="37">
        <f t="shared" si="1"/>
        <v>814.05</v>
      </c>
      <c r="E31" s="33">
        <v>50.0</v>
      </c>
      <c r="F31" s="33">
        <v>345.0</v>
      </c>
      <c r="G31" s="58">
        <f t="shared" si="2"/>
        <v>395</v>
      </c>
      <c r="H31" s="33">
        <v>210.0</v>
      </c>
      <c r="I31" s="33">
        <v>342.93</v>
      </c>
      <c r="J31" s="37">
        <f t="shared" si="3"/>
        <v>552.93</v>
      </c>
      <c r="K31" s="33">
        <v>32.48</v>
      </c>
      <c r="L31" s="33">
        <v>133.15</v>
      </c>
      <c r="M31" s="37">
        <f t="shared" si="4"/>
        <v>165.63</v>
      </c>
      <c r="N31" s="7"/>
      <c r="O31" s="39">
        <f t="shared" si="5"/>
        <v>1927.61</v>
      </c>
    </row>
    <row r="32">
      <c r="A32" s="31">
        <v>46081.0</v>
      </c>
      <c r="B32" s="33">
        <v>403.53</v>
      </c>
      <c r="C32" s="33">
        <v>1293.36</v>
      </c>
      <c r="D32" s="37">
        <f t="shared" si="1"/>
        <v>1696.89</v>
      </c>
      <c r="E32" s="33">
        <v>230.78</v>
      </c>
      <c r="F32" s="33">
        <v>596.59</v>
      </c>
      <c r="G32" s="58">
        <f t="shared" si="2"/>
        <v>827.37</v>
      </c>
      <c r="H32" s="33">
        <v>235.0</v>
      </c>
      <c r="I32" s="33">
        <v>377.28</v>
      </c>
      <c r="J32" s="37">
        <f t="shared" si="3"/>
        <v>612.28</v>
      </c>
      <c r="K32" s="33">
        <v>160.21</v>
      </c>
      <c r="L32" s="33">
        <v>602.37</v>
      </c>
      <c r="M32" s="37">
        <f t="shared" si="4"/>
        <v>762.58</v>
      </c>
      <c r="N32" s="7"/>
      <c r="O32" s="39">
        <f t="shared" si="5"/>
        <v>3899.12</v>
      </c>
    </row>
    <row r="33">
      <c r="A33" s="31"/>
      <c r="B33" s="33"/>
      <c r="C33" s="60"/>
      <c r="D33" s="37">
        <f t="shared" si="1"/>
        <v>0</v>
      </c>
      <c r="E33" s="60"/>
      <c r="F33" s="60"/>
      <c r="G33" s="58"/>
      <c r="H33" s="60"/>
      <c r="I33" s="60"/>
      <c r="J33" s="37"/>
      <c r="K33" s="113"/>
      <c r="L33" s="60"/>
      <c r="M33" s="37"/>
      <c r="N33" s="7"/>
      <c r="O33" s="39">
        <f t="shared" si="5"/>
        <v>0</v>
      </c>
    </row>
    <row r="34">
      <c r="A34" s="31"/>
      <c r="B34" s="33"/>
      <c r="C34" s="60"/>
      <c r="D34" s="37">
        <f t="shared" si="1"/>
        <v>0</v>
      </c>
      <c r="E34" s="60"/>
      <c r="F34" s="60"/>
      <c r="G34" s="58"/>
      <c r="H34" s="60"/>
      <c r="I34" s="60"/>
      <c r="J34" s="37"/>
      <c r="K34" s="60"/>
      <c r="L34" s="60"/>
      <c r="M34" s="37"/>
      <c r="N34" s="7"/>
      <c r="O34" s="39">
        <f t="shared" si="5"/>
        <v>0</v>
      </c>
    </row>
    <row r="35">
      <c r="A35" s="31"/>
      <c r="B35" s="113"/>
      <c r="C35" s="114"/>
      <c r="D35" s="37">
        <f t="shared" si="1"/>
        <v>0</v>
      </c>
      <c r="E35" s="114"/>
      <c r="F35" s="114"/>
      <c r="G35" s="58"/>
      <c r="H35" s="114"/>
      <c r="I35" s="114"/>
      <c r="J35" s="37"/>
      <c r="K35" s="114"/>
      <c r="L35" s="114"/>
      <c r="M35" s="37"/>
      <c r="N35" s="7"/>
      <c r="O35" s="39">
        <f t="shared" si="5"/>
        <v>0</v>
      </c>
    </row>
    <row r="36">
      <c r="A36" s="7"/>
      <c r="B36" s="61">
        <f t="shared" ref="B36:C36" si="6">SUM(B5:B35)</f>
        <v>4503.12</v>
      </c>
      <c r="C36" s="61">
        <f t="shared" si="6"/>
        <v>20082.29</v>
      </c>
      <c r="D36" s="62"/>
      <c r="E36" s="61">
        <f t="shared" ref="E36:F36" si="7">SUM(E5:E35)</f>
        <v>2274.84</v>
      </c>
      <c r="F36" s="61">
        <f t="shared" si="7"/>
        <v>6329.33</v>
      </c>
      <c r="G36" s="62"/>
      <c r="H36" s="61">
        <f t="shared" ref="H36:I36" si="8">SUM(H5:H35)</f>
        <v>2052.17</v>
      </c>
      <c r="I36" s="61">
        <f t="shared" si="8"/>
        <v>4939.37</v>
      </c>
      <c r="J36" s="62"/>
      <c r="K36" s="61">
        <f t="shared" ref="K36:L36" si="9">SUM(K5:K35)</f>
        <v>1947.78</v>
      </c>
      <c r="L36" s="61">
        <f t="shared" si="9"/>
        <v>5452.99</v>
      </c>
      <c r="M36" s="7"/>
      <c r="N36" s="7"/>
      <c r="O36" s="7"/>
    </row>
    <row r="37">
      <c r="A37" s="7"/>
      <c r="B37" s="7"/>
      <c r="C37" s="64" t="s">
        <v>61</v>
      </c>
      <c r="D37" s="65">
        <f>SUM(D5:D35)</f>
        <v>24585.41</v>
      </c>
      <c r="E37" s="7"/>
      <c r="F37" s="64" t="s">
        <v>3</v>
      </c>
      <c r="G37" s="66">
        <f>SUM(G5:G35)</f>
        <v>8604.17</v>
      </c>
      <c r="H37" s="7"/>
      <c r="I37" s="64" t="s">
        <v>4</v>
      </c>
      <c r="J37" s="67">
        <f>SUM(J5:J35)</f>
        <v>6991.54</v>
      </c>
      <c r="K37" s="7"/>
      <c r="L37" s="64" t="s">
        <v>5</v>
      </c>
      <c r="M37" s="67">
        <f>SUM(M5:M35)</f>
        <v>7400.77</v>
      </c>
      <c r="N37" s="7"/>
      <c r="O37" s="225">
        <f>SUM(O5:O35)</f>
        <v>47581.89</v>
      </c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>
      <c r="A40" s="74" t="s">
        <v>63</v>
      </c>
      <c r="B40" s="76">
        <f>B36+E36+H36+K36</f>
        <v>10777.91</v>
      </c>
      <c r="D40" s="7"/>
      <c r="E40" s="226" t="s">
        <v>246</v>
      </c>
      <c r="F40" s="226" t="s">
        <v>247</v>
      </c>
      <c r="G40" s="226" t="s">
        <v>248</v>
      </c>
      <c r="H40" s="226" t="s">
        <v>249</v>
      </c>
      <c r="I40" s="226" t="s">
        <v>250</v>
      </c>
      <c r="J40" s="226" t="s">
        <v>251</v>
      </c>
      <c r="K40" s="7"/>
      <c r="L40" s="7"/>
      <c r="M40" s="7"/>
      <c r="N40" s="7"/>
      <c r="O40" s="7"/>
      <c r="P40" s="7"/>
    </row>
    <row r="41">
      <c r="A41" s="74" t="s">
        <v>64</v>
      </c>
      <c r="B41" s="76">
        <f>C36+F36+I36+L36</f>
        <v>36803.98</v>
      </c>
      <c r="D41" s="7"/>
      <c r="E41" s="244"/>
      <c r="F41" s="68"/>
      <c r="G41" s="68"/>
      <c r="H41" s="68"/>
      <c r="I41" s="68"/>
      <c r="J41" s="245"/>
      <c r="K41" s="7"/>
      <c r="L41" s="7"/>
      <c r="M41" s="7"/>
      <c r="N41" s="7"/>
      <c r="O41" s="7"/>
      <c r="P41" s="7"/>
    </row>
    <row r="42">
      <c r="A42" s="78"/>
      <c r="B42" s="79"/>
      <c r="D42" s="7"/>
      <c r="E42" s="229">
        <v>47581.89</v>
      </c>
      <c r="F42" s="230">
        <v>10777.91</v>
      </c>
      <c r="G42" s="230"/>
      <c r="H42" s="230">
        <v>153.0</v>
      </c>
      <c r="I42" s="231">
        <v>10985.0</v>
      </c>
      <c r="J42" s="247" t="s">
        <v>285</v>
      </c>
      <c r="K42" s="63"/>
      <c r="L42" s="7"/>
      <c r="M42" s="7"/>
      <c r="N42" s="7"/>
      <c r="O42" s="7"/>
      <c r="P42" s="7"/>
    </row>
    <row r="43">
      <c r="A43" s="81" t="s">
        <v>65</v>
      </c>
      <c r="B43" s="67">
        <f>SUM(O5:O35)</f>
        <v>47581.89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50">
      <c r="A50" s="233"/>
      <c r="B50" s="233"/>
      <c r="C50" s="233" t="s">
        <v>11</v>
      </c>
      <c r="D50" s="233" t="s">
        <v>3</v>
      </c>
      <c r="E50" s="233" t="s">
        <v>4</v>
      </c>
      <c r="F50" s="233" t="s">
        <v>5</v>
      </c>
      <c r="G50" s="233" t="s">
        <v>288</v>
      </c>
    </row>
    <row r="51">
      <c r="A51" s="40" t="s">
        <v>22</v>
      </c>
      <c r="B51" s="95">
        <v>46054.0</v>
      </c>
      <c r="C51" s="234" t="s">
        <v>108</v>
      </c>
      <c r="D51" s="235" t="s">
        <v>289</v>
      </c>
      <c r="E51" s="236" t="s">
        <v>290</v>
      </c>
      <c r="F51" s="236" t="s">
        <v>291</v>
      </c>
      <c r="G51" s="44">
        <v>8.0</v>
      </c>
    </row>
    <row r="52">
      <c r="A52" s="40" t="s">
        <v>13</v>
      </c>
      <c r="B52" s="95">
        <v>46055.0</v>
      </c>
      <c r="C52" s="234" t="s">
        <v>108</v>
      </c>
      <c r="D52" s="237" t="s">
        <v>292</v>
      </c>
      <c r="E52" s="236" t="s">
        <v>290</v>
      </c>
      <c r="F52" s="235" t="s">
        <v>289</v>
      </c>
      <c r="G52" s="44">
        <v>10.0</v>
      </c>
    </row>
    <row r="53">
      <c r="A53" s="40" t="s">
        <v>21</v>
      </c>
      <c r="B53" s="95">
        <v>46056.0</v>
      </c>
      <c r="C53" s="238" t="s">
        <v>293</v>
      </c>
      <c r="D53" s="236" t="s">
        <v>290</v>
      </c>
      <c r="E53" s="235" t="s">
        <v>289</v>
      </c>
      <c r="F53" s="235" t="s">
        <v>277</v>
      </c>
      <c r="G53" s="44">
        <v>10.0</v>
      </c>
    </row>
    <row r="54">
      <c r="A54" s="40" t="s">
        <v>24</v>
      </c>
      <c r="B54" s="95">
        <v>46057.0</v>
      </c>
      <c r="C54" s="234" t="s">
        <v>108</v>
      </c>
      <c r="D54" s="236" t="s">
        <v>290</v>
      </c>
      <c r="E54" s="235" t="s">
        <v>289</v>
      </c>
      <c r="F54" s="235" t="s">
        <v>277</v>
      </c>
      <c r="G54" s="44">
        <v>10.0</v>
      </c>
    </row>
    <row r="55">
      <c r="A55" s="40" t="s">
        <v>26</v>
      </c>
      <c r="B55" s="95">
        <v>46058.0</v>
      </c>
      <c r="C55" s="234" t="s">
        <v>108</v>
      </c>
      <c r="D55" s="236" t="s">
        <v>290</v>
      </c>
      <c r="E55" s="235" t="s">
        <v>289</v>
      </c>
      <c r="F55" s="236" t="s">
        <v>297</v>
      </c>
      <c r="G55" s="44">
        <v>10.0</v>
      </c>
    </row>
    <row r="56">
      <c r="A56" s="40" t="s">
        <v>14</v>
      </c>
      <c r="B56" s="95">
        <v>46059.0</v>
      </c>
      <c r="C56" s="234" t="s">
        <v>108</v>
      </c>
      <c r="D56" s="237" t="s">
        <v>299</v>
      </c>
      <c r="E56" s="235" t="s">
        <v>289</v>
      </c>
      <c r="F56" s="237" t="s">
        <v>300</v>
      </c>
      <c r="G56" s="44">
        <v>11.0</v>
      </c>
    </row>
    <row r="57">
      <c r="A57" s="40" t="s">
        <v>15</v>
      </c>
      <c r="B57" s="95">
        <v>46060.0</v>
      </c>
      <c r="C57" s="234" t="s">
        <v>108</v>
      </c>
      <c r="D57" s="98" t="s">
        <v>301</v>
      </c>
      <c r="E57" s="98" t="s">
        <v>302</v>
      </c>
      <c r="F57" s="236" t="s">
        <v>291</v>
      </c>
      <c r="G57" s="44">
        <v>11.0</v>
      </c>
      <c r="I57" s="56"/>
      <c r="J57" s="56"/>
    </row>
    <row r="58">
      <c r="A58" s="40" t="s">
        <v>22</v>
      </c>
      <c r="B58" s="95">
        <v>46061.0</v>
      </c>
      <c r="C58" s="234" t="s">
        <v>108</v>
      </c>
      <c r="D58" s="98" t="s">
        <v>301</v>
      </c>
      <c r="E58" s="98" t="s">
        <v>302</v>
      </c>
      <c r="F58" s="236" t="s">
        <v>291</v>
      </c>
      <c r="G58" s="44">
        <v>8.0</v>
      </c>
      <c r="I58" s="56"/>
      <c r="J58" s="56"/>
    </row>
    <row r="59">
      <c r="A59" s="40" t="s">
        <v>13</v>
      </c>
      <c r="B59" s="95">
        <v>46062.0</v>
      </c>
      <c r="C59" s="234" t="s">
        <v>108</v>
      </c>
      <c r="D59" s="98" t="s">
        <v>290</v>
      </c>
      <c r="E59" s="98" t="s">
        <v>302</v>
      </c>
      <c r="F59" s="235" t="s">
        <v>289</v>
      </c>
      <c r="G59" s="44">
        <v>10.0</v>
      </c>
      <c r="I59" s="56"/>
      <c r="J59" s="68"/>
    </row>
    <row r="60">
      <c r="A60" s="40" t="s">
        <v>21</v>
      </c>
      <c r="B60" s="95">
        <v>46063.0</v>
      </c>
      <c r="C60" s="234" t="s">
        <v>108</v>
      </c>
      <c r="D60" s="98" t="s">
        <v>290</v>
      </c>
      <c r="E60" s="235" t="s">
        <v>289</v>
      </c>
      <c r="F60" s="236" t="s">
        <v>297</v>
      </c>
      <c r="G60" s="44">
        <v>10.0</v>
      </c>
      <c r="I60" s="68"/>
      <c r="J60" s="68"/>
    </row>
    <row r="61">
      <c r="A61" s="40" t="s">
        <v>24</v>
      </c>
      <c r="B61" s="95">
        <v>46064.0</v>
      </c>
      <c r="C61" s="238" t="s">
        <v>312</v>
      </c>
      <c r="D61" s="98" t="s">
        <v>301</v>
      </c>
      <c r="E61" s="98" t="s">
        <v>302</v>
      </c>
      <c r="F61" s="235" t="s">
        <v>289</v>
      </c>
      <c r="G61" s="44">
        <v>10.0</v>
      </c>
      <c r="I61" s="56"/>
      <c r="J61" s="260"/>
    </row>
    <row r="62">
      <c r="A62" s="40" t="s">
        <v>26</v>
      </c>
      <c r="B62" s="95">
        <v>46065.0</v>
      </c>
      <c r="C62" s="234" t="s">
        <v>108</v>
      </c>
      <c r="D62" s="98" t="s">
        <v>301</v>
      </c>
      <c r="E62" s="237" t="s">
        <v>318</v>
      </c>
      <c r="F62" s="236" t="s">
        <v>290</v>
      </c>
      <c r="G62" s="44">
        <v>10.0</v>
      </c>
      <c r="I62" s="68"/>
      <c r="J62" s="260"/>
    </row>
    <row r="63">
      <c r="A63" s="40" t="s">
        <v>14</v>
      </c>
      <c r="B63" s="95">
        <v>46066.0</v>
      </c>
      <c r="C63" s="234" t="s">
        <v>108</v>
      </c>
      <c r="D63" s="98" t="s">
        <v>301</v>
      </c>
      <c r="E63" s="98" t="s">
        <v>302</v>
      </c>
      <c r="F63" s="236" t="s">
        <v>291</v>
      </c>
      <c r="G63" s="44">
        <v>11.0</v>
      </c>
      <c r="I63" s="56"/>
      <c r="J63" s="260"/>
    </row>
    <row r="64">
      <c r="A64" s="40" t="s">
        <v>15</v>
      </c>
      <c r="B64" s="95">
        <v>46067.0</v>
      </c>
      <c r="C64" s="234" t="s">
        <v>108</v>
      </c>
      <c r="D64" s="98" t="s">
        <v>302</v>
      </c>
      <c r="E64" s="98" t="s">
        <v>301</v>
      </c>
      <c r="F64" s="235" t="s">
        <v>291</v>
      </c>
      <c r="G64" s="44">
        <v>11.0</v>
      </c>
      <c r="I64" s="56"/>
      <c r="J64" s="263"/>
    </row>
    <row r="65">
      <c r="A65" s="40" t="s">
        <v>22</v>
      </c>
      <c r="B65" s="95">
        <v>46068.0</v>
      </c>
      <c r="C65" s="234" t="s">
        <v>108</v>
      </c>
      <c r="D65" s="98" t="s">
        <v>301</v>
      </c>
      <c r="E65" s="98" t="s">
        <v>302</v>
      </c>
      <c r="F65" s="237" t="s">
        <v>328</v>
      </c>
      <c r="G65" s="44">
        <v>8.0</v>
      </c>
      <c r="I65" s="56"/>
      <c r="J65" s="260"/>
    </row>
    <row r="66">
      <c r="A66" s="40" t="s">
        <v>13</v>
      </c>
      <c r="B66" s="95">
        <v>46069.0</v>
      </c>
      <c r="C66" s="234" t="s">
        <v>108</v>
      </c>
      <c r="D66" s="98" t="s">
        <v>302</v>
      </c>
      <c r="E66" s="56" t="s">
        <v>334</v>
      </c>
      <c r="F66" s="236" t="s">
        <v>290</v>
      </c>
      <c r="G66" s="44">
        <v>10.0</v>
      </c>
      <c r="I66" s="56"/>
      <c r="J66" s="263"/>
    </row>
    <row r="67">
      <c r="A67" s="40" t="s">
        <v>21</v>
      </c>
      <c r="B67" s="95">
        <v>46070.0</v>
      </c>
      <c r="C67" s="234" t="s">
        <v>108</v>
      </c>
      <c r="D67" s="98" t="s">
        <v>289</v>
      </c>
      <c r="E67" s="98" t="s">
        <v>290</v>
      </c>
      <c r="F67" s="236" t="s">
        <v>277</v>
      </c>
      <c r="G67" s="44">
        <v>10.0</v>
      </c>
      <c r="I67" s="68"/>
      <c r="J67" s="263"/>
    </row>
    <row r="68">
      <c r="A68" s="40" t="s">
        <v>24</v>
      </c>
      <c r="B68" s="95">
        <v>46071.0</v>
      </c>
      <c r="C68" s="234" t="s">
        <v>108</v>
      </c>
      <c r="D68" s="98" t="s">
        <v>301</v>
      </c>
      <c r="E68" s="98" t="s">
        <v>340</v>
      </c>
      <c r="F68" s="236" t="s">
        <v>289</v>
      </c>
      <c r="G68" s="44">
        <v>10.0</v>
      </c>
      <c r="I68" s="56"/>
      <c r="J68" s="260"/>
    </row>
    <row r="69">
      <c r="A69" s="40" t="s">
        <v>26</v>
      </c>
      <c r="B69" s="95">
        <v>46072.0</v>
      </c>
      <c r="C69" s="234" t="s">
        <v>108</v>
      </c>
      <c r="D69" s="98" t="s">
        <v>301</v>
      </c>
      <c r="E69" s="98" t="s">
        <v>334</v>
      </c>
      <c r="F69" s="237" t="s">
        <v>342</v>
      </c>
      <c r="G69" s="44">
        <v>10.0</v>
      </c>
      <c r="I69" s="68"/>
      <c r="J69" s="260"/>
    </row>
    <row r="70">
      <c r="A70" s="40" t="s">
        <v>14</v>
      </c>
      <c r="B70" s="95">
        <v>46073.0</v>
      </c>
      <c r="C70" s="234" t="s">
        <v>108</v>
      </c>
      <c r="D70" s="98" t="s">
        <v>301</v>
      </c>
      <c r="E70" s="98" t="s">
        <v>302</v>
      </c>
      <c r="F70" s="236" t="s">
        <v>344</v>
      </c>
      <c r="G70" s="44">
        <v>11.0</v>
      </c>
      <c r="I70" s="56"/>
      <c r="J70" s="260"/>
    </row>
    <row r="71">
      <c r="A71" s="40" t="s">
        <v>15</v>
      </c>
      <c r="B71" s="95">
        <v>46074.0</v>
      </c>
      <c r="C71" s="234" t="s">
        <v>108</v>
      </c>
      <c r="D71" s="98" t="s">
        <v>301</v>
      </c>
      <c r="E71" s="98" t="s">
        <v>302</v>
      </c>
      <c r="F71" s="44" t="s">
        <v>344</v>
      </c>
      <c r="G71" s="44">
        <v>11.0</v>
      </c>
      <c r="I71" s="56"/>
      <c r="J71" s="260"/>
    </row>
    <row r="72">
      <c r="A72" s="40" t="s">
        <v>22</v>
      </c>
      <c r="B72" s="95">
        <v>46075.0</v>
      </c>
      <c r="C72" s="234" t="s">
        <v>108</v>
      </c>
      <c r="D72" s="98" t="s">
        <v>301</v>
      </c>
      <c r="E72" s="237" t="s">
        <v>348</v>
      </c>
      <c r="F72" s="236" t="s">
        <v>344</v>
      </c>
      <c r="G72" s="44">
        <v>8.0</v>
      </c>
      <c r="I72" s="56"/>
      <c r="J72" s="260"/>
    </row>
    <row r="73">
      <c r="A73" s="40" t="s">
        <v>13</v>
      </c>
      <c r="B73" s="95">
        <v>46076.0</v>
      </c>
      <c r="C73" s="234" t="s">
        <v>108</v>
      </c>
      <c r="D73" s="98" t="s">
        <v>302</v>
      </c>
      <c r="E73" s="236" t="s">
        <v>289</v>
      </c>
      <c r="F73" s="236" t="s">
        <v>350</v>
      </c>
      <c r="G73" s="44">
        <v>10.0</v>
      </c>
      <c r="I73" s="56"/>
      <c r="J73" s="260"/>
    </row>
    <row r="74">
      <c r="A74" s="40" t="s">
        <v>21</v>
      </c>
      <c r="B74" s="95">
        <v>46077.0</v>
      </c>
      <c r="C74" s="234" t="s">
        <v>108</v>
      </c>
      <c r="D74" s="237" t="s">
        <v>352</v>
      </c>
      <c r="E74" s="236" t="s">
        <v>289</v>
      </c>
      <c r="F74" s="237" t="s">
        <v>353</v>
      </c>
      <c r="G74" s="44">
        <v>10.0</v>
      </c>
      <c r="I74" s="68"/>
      <c r="J74" s="263"/>
    </row>
    <row r="75">
      <c r="A75" s="40" t="s">
        <v>24</v>
      </c>
      <c r="B75" s="95">
        <v>46078.0</v>
      </c>
      <c r="C75" s="234" t="s">
        <v>108</v>
      </c>
      <c r="D75" s="98" t="s">
        <v>301</v>
      </c>
      <c r="E75" s="237" t="s">
        <v>354</v>
      </c>
      <c r="F75" s="98" t="s">
        <v>340</v>
      </c>
      <c r="G75" s="44">
        <v>10.0</v>
      </c>
      <c r="I75" s="56"/>
      <c r="J75" s="260"/>
    </row>
    <row r="76">
      <c r="A76" s="40" t="s">
        <v>26</v>
      </c>
      <c r="B76" s="95">
        <v>46079.0</v>
      </c>
      <c r="C76" s="238" t="s">
        <v>355</v>
      </c>
      <c r="D76" s="98" t="s">
        <v>301</v>
      </c>
      <c r="E76" s="237" t="s">
        <v>356</v>
      </c>
      <c r="F76" s="237" t="s">
        <v>357</v>
      </c>
      <c r="G76" s="44">
        <v>10.0</v>
      </c>
      <c r="I76" s="68"/>
      <c r="J76" s="260"/>
    </row>
    <row r="77">
      <c r="A77" s="40" t="s">
        <v>14</v>
      </c>
      <c r="B77" s="95">
        <v>46080.0</v>
      </c>
      <c r="C77" s="238" t="s">
        <v>358</v>
      </c>
      <c r="D77" s="98" t="s">
        <v>301</v>
      </c>
      <c r="E77" s="98" t="s">
        <v>302</v>
      </c>
      <c r="F77" s="236" t="s">
        <v>297</v>
      </c>
      <c r="G77" s="44">
        <v>11.0</v>
      </c>
      <c r="I77" s="56"/>
      <c r="J77" s="260"/>
    </row>
    <row r="78">
      <c r="A78" s="40" t="s">
        <v>15</v>
      </c>
      <c r="B78" s="95">
        <v>46081.0</v>
      </c>
      <c r="C78" s="238" t="s">
        <v>359</v>
      </c>
      <c r="D78" s="237" t="s">
        <v>360</v>
      </c>
      <c r="E78" s="237" t="s">
        <v>361</v>
      </c>
      <c r="F78" s="237" t="s">
        <v>362</v>
      </c>
      <c r="G78" s="44">
        <v>11.0</v>
      </c>
      <c r="I78" s="56"/>
      <c r="J78" s="260"/>
    </row>
    <row r="79">
      <c r="A79" s="275"/>
      <c r="B79" s="275"/>
      <c r="C79" s="264"/>
      <c r="D79" s="246"/>
      <c r="E79" s="236"/>
      <c r="F79" s="236"/>
    </row>
    <row r="80">
      <c r="A80" s="275"/>
      <c r="B80" s="275"/>
      <c r="C80" s="264"/>
      <c r="D80" s="246"/>
      <c r="E80" s="236"/>
      <c r="F80" s="236"/>
    </row>
    <row r="81">
      <c r="A81" s="275"/>
      <c r="B81" s="275"/>
      <c r="C81" s="157"/>
      <c r="D81" s="246"/>
      <c r="E81" s="236"/>
      <c r="F81" s="236"/>
    </row>
    <row r="82">
      <c r="A82" s="69"/>
      <c r="B82" s="69"/>
      <c r="C82" s="69">
        <f>IFERROR(__xludf.DUMMYFUNCTION("SUM(ARRAYFORMULA(IFERROR(VALUE(REGEXREPLACE(C51:C81,""[^\d]"","""")),0)))"),2153.0)</f>
        <v>2153</v>
      </c>
      <c r="D82" s="69">
        <f>IFERROR(__xludf.DUMMYFUNCTION("SUM(ARRAYFORMULA(IFERROR(VALUE(REGEXREPLACE(D51:D81,""[^\d]"","""")),0)))"),2982.0)</f>
        <v>2982</v>
      </c>
      <c r="E82" s="69">
        <f>IFERROR(__xludf.DUMMYFUNCTION("SUM(ARRAYFORMULA(IFERROR(VALUE(REGEXREPLACE(E51:E81,""[^\d]"","""")),0)))"),3730.0)</f>
        <v>3730</v>
      </c>
      <c r="F82" s="69">
        <f>IFERROR(__xludf.DUMMYFUNCTION("SUM(ARRAYFORMULA(IFERROR(VALUE(REGEXREPLACE(F51:F81,""[^\d]"","""")),0)))"),2120.0)</f>
        <v>2120</v>
      </c>
      <c r="G82" s="69">
        <f>SUM(G51:G81)</f>
        <v>280</v>
      </c>
    </row>
    <row r="84">
      <c r="A84" s="124"/>
      <c r="B84" s="124"/>
      <c r="C84" s="124" t="s">
        <v>92</v>
      </c>
      <c r="D84" s="125">
        <f>SUM(C82+D82+E82+F82)</f>
        <v>10985</v>
      </c>
    </row>
    <row r="87">
      <c r="A87" s="271"/>
      <c r="B87" s="271" t="s">
        <v>142</v>
      </c>
      <c r="C87" s="271" t="s">
        <v>12</v>
      </c>
      <c r="D87" s="271" t="s">
        <v>294</v>
      </c>
      <c r="F87" s="250" t="s">
        <v>152</v>
      </c>
      <c r="G87" s="251" t="s">
        <v>298</v>
      </c>
      <c r="H87" s="251" t="s">
        <v>153</v>
      </c>
      <c r="I87" s="250" t="s">
        <v>155</v>
      </c>
    </row>
    <row r="88">
      <c r="A88" s="44"/>
      <c r="B88" s="44" t="s">
        <v>289</v>
      </c>
      <c r="C88" s="44">
        <v>169.0</v>
      </c>
      <c r="D88" s="44">
        <v>1859.0</v>
      </c>
      <c r="F88" s="253" t="s">
        <v>256</v>
      </c>
      <c r="G88" s="258">
        <v>46065.0</v>
      </c>
      <c r="H88" s="259" t="s">
        <v>383</v>
      </c>
      <c r="I88" s="261" t="s">
        <v>384</v>
      </c>
    </row>
    <row r="89">
      <c r="A89" s="44"/>
      <c r="B89" s="44" t="s">
        <v>350</v>
      </c>
      <c r="C89" s="44">
        <v>139.0</v>
      </c>
      <c r="D89" s="44">
        <v>1390.0</v>
      </c>
      <c r="F89" s="253" t="s">
        <v>385</v>
      </c>
      <c r="G89" s="258">
        <v>46059.0</v>
      </c>
      <c r="H89" s="259" t="s">
        <v>386</v>
      </c>
      <c r="I89" s="254" t="s">
        <v>387</v>
      </c>
    </row>
    <row r="90">
      <c r="A90" s="239" t="s">
        <v>388</v>
      </c>
      <c r="B90" s="44" t="s">
        <v>108</v>
      </c>
      <c r="C90" s="44">
        <v>280.0</v>
      </c>
      <c r="D90" s="44">
        <v>2000.0</v>
      </c>
      <c r="F90" s="253" t="s">
        <v>159</v>
      </c>
      <c r="G90" s="261" t="s">
        <v>389</v>
      </c>
      <c r="H90" s="259" t="s">
        <v>390</v>
      </c>
      <c r="I90" s="254" t="s">
        <v>391</v>
      </c>
    </row>
    <row r="91">
      <c r="A91" s="44"/>
      <c r="B91" s="44" t="s">
        <v>291</v>
      </c>
      <c r="C91" s="44">
        <v>77.0</v>
      </c>
      <c r="D91" s="44">
        <v>770.0</v>
      </c>
      <c r="F91" s="253" t="s">
        <v>25</v>
      </c>
      <c r="G91" s="261" t="s">
        <v>392</v>
      </c>
      <c r="H91" s="254" t="s">
        <v>393</v>
      </c>
      <c r="I91" s="261" t="s">
        <v>394</v>
      </c>
    </row>
    <row r="92">
      <c r="A92" s="44"/>
      <c r="B92" s="44" t="s">
        <v>395</v>
      </c>
      <c r="C92" s="44">
        <v>93.0</v>
      </c>
      <c r="D92" s="44">
        <v>930.0</v>
      </c>
      <c r="F92" s="253" t="s">
        <v>49</v>
      </c>
      <c r="G92" s="261" t="s">
        <v>396</v>
      </c>
      <c r="H92" s="259" t="s">
        <v>397</v>
      </c>
      <c r="I92" s="262" t="s">
        <v>398</v>
      </c>
    </row>
    <row r="93">
      <c r="B93" s="44" t="s">
        <v>340</v>
      </c>
      <c r="C93" s="44">
        <v>161.0</v>
      </c>
      <c r="D93" s="44">
        <v>1771.0</v>
      </c>
      <c r="F93" s="159" t="s">
        <v>171</v>
      </c>
      <c r="G93" s="265">
        <v>46064.0</v>
      </c>
      <c r="H93" s="266" t="s">
        <v>399</v>
      </c>
      <c r="I93" s="266">
        <v>45.0</v>
      </c>
    </row>
    <row r="94">
      <c r="B94" s="44" t="s">
        <v>400</v>
      </c>
      <c r="C94" s="44">
        <v>161.0</v>
      </c>
      <c r="D94" s="44">
        <v>2012.0</v>
      </c>
      <c r="F94" s="159" t="s">
        <v>401</v>
      </c>
      <c r="G94" s="265">
        <v>46075.0</v>
      </c>
      <c r="H94" s="266" t="s">
        <v>402</v>
      </c>
      <c r="I94" s="266" t="s">
        <v>403</v>
      </c>
    </row>
    <row r="95">
      <c r="B95" s="44" t="s">
        <v>404</v>
      </c>
      <c r="C95" s="44">
        <v>10.0</v>
      </c>
      <c r="D95" s="44">
        <v>100.0</v>
      </c>
      <c r="F95" s="159" t="s">
        <v>276</v>
      </c>
      <c r="G95" s="265">
        <v>46081.0</v>
      </c>
      <c r="H95" s="266" t="s">
        <v>405</v>
      </c>
      <c r="I95" s="266">
        <v>2012.0</v>
      </c>
    </row>
    <row r="96">
      <c r="B96" s="44" t="s">
        <v>406</v>
      </c>
      <c r="C96" s="44"/>
      <c r="D96" s="44">
        <v>153.0</v>
      </c>
      <c r="F96" s="159" t="s">
        <v>407</v>
      </c>
      <c r="G96" s="287">
        <v>46081.0</v>
      </c>
      <c r="H96" s="266">
        <v>10.0</v>
      </c>
      <c r="I96" s="266">
        <v>100.0</v>
      </c>
    </row>
    <row r="97">
      <c r="F97" s="272"/>
      <c r="G97" s="272"/>
      <c r="H97" s="272"/>
      <c r="I97" s="272"/>
    </row>
    <row r="98">
      <c r="A98" s="269"/>
      <c r="B98" s="269" t="s">
        <v>351</v>
      </c>
      <c r="C98" s="270"/>
      <c r="D98" s="270">
        <f>SUM(D88:D97)</f>
        <v>10985</v>
      </c>
      <c r="F98" s="273" t="s">
        <v>176</v>
      </c>
      <c r="G98" s="274"/>
      <c r="H98" s="274"/>
      <c r="I98" s="105">
        <f>IFERROR(__xludf.DUMMYFUNCTION("SUM(
  SPLIT(
    TEXTJOIN(""+"", TRUE, I88:I97),
    ""+""
  )
)"),10985.0)</f>
        <v>10985</v>
      </c>
    </row>
    <row r="100">
      <c r="A100" s="276"/>
      <c r="B100" s="276" t="s">
        <v>366</v>
      </c>
      <c r="C100" s="158"/>
    </row>
  </sheetData>
  <mergeCells count="6">
    <mergeCell ref="A2:B2"/>
    <mergeCell ref="A3:A4"/>
    <mergeCell ref="B3:D3"/>
    <mergeCell ref="E3:G3"/>
    <mergeCell ref="H3:J3"/>
    <mergeCell ref="K3:M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6" max="6" width="15.13"/>
    <col customWidth="1" min="15" max="15" width="18.38"/>
    <col customWidth="1" min="16" max="16" width="33.13"/>
  </cols>
  <sheetData>
    <row r="1">
      <c r="A1" s="215">
        <v>46023.0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>
      <c r="A2" s="214" t="s">
        <v>1</v>
      </c>
      <c r="B2" s="15" t="s">
        <v>2</v>
      </c>
      <c r="C2" s="4"/>
      <c r="D2" s="6"/>
      <c r="E2" s="19" t="s">
        <v>3</v>
      </c>
      <c r="F2" s="4"/>
      <c r="G2" s="6"/>
      <c r="H2" s="21" t="s">
        <v>4</v>
      </c>
      <c r="I2" s="4"/>
      <c r="J2" s="6"/>
      <c r="K2" s="24" t="s">
        <v>5</v>
      </c>
      <c r="L2" s="4"/>
      <c r="M2" s="4"/>
      <c r="N2" s="6"/>
      <c r="O2" s="7"/>
      <c r="P2" s="7"/>
      <c r="U2" s="286"/>
    </row>
    <row r="3">
      <c r="A3" s="16"/>
      <c r="B3" s="27" t="s">
        <v>8</v>
      </c>
      <c r="C3" s="27" t="s">
        <v>9</v>
      </c>
      <c r="D3" s="27" t="s">
        <v>10</v>
      </c>
      <c r="E3" s="28" t="s">
        <v>8</v>
      </c>
      <c r="F3" s="28" t="s">
        <v>9</v>
      </c>
      <c r="G3" s="28" t="s">
        <v>10</v>
      </c>
      <c r="H3" s="30" t="s">
        <v>8</v>
      </c>
      <c r="I3" s="30" t="s">
        <v>9</v>
      </c>
      <c r="J3" s="30" t="s">
        <v>10</v>
      </c>
      <c r="K3" s="32" t="s">
        <v>8</v>
      </c>
      <c r="L3" s="32" t="s">
        <v>9</v>
      </c>
      <c r="M3" s="32"/>
      <c r="N3" s="32" t="s">
        <v>10</v>
      </c>
      <c r="O3" s="7"/>
      <c r="P3" s="26" t="s">
        <v>6</v>
      </c>
      <c r="U3" s="286"/>
    </row>
    <row r="4">
      <c r="A4" s="288">
        <v>46023.0</v>
      </c>
      <c r="B4" s="113">
        <v>186.19</v>
      </c>
      <c r="C4" s="113">
        <v>1302.8</v>
      </c>
      <c r="D4" s="36">
        <f t="shared" ref="D4:D34" si="1">B4+C4</f>
        <v>1488.99</v>
      </c>
      <c r="E4" s="113">
        <v>119.08</v>
      </c>
      <c r="F4" s="113">
        <v>439.34</v>
      </c>
      <c r="G4" s="37">
        <f t="shared" ref="G4:G34" si="2">E4+F4</f>
        <v>558.42</v>
      </c>
      <c r="H4" s="113">
        <v>197.4</v>
      </c>
      <c r="I4" s="113">
        <v>341.36</v>
      </c>
      <c r="J4" s="37">
        <f t="shared" ref="J4:J34" si="3">H4+I4</f>
        <v>538.76</v>
      </c>
      <c r="K4" s="113">
        <v>214.06</v>
      </c>
      <c r="L4" s="113">
        <v>436.72</v>
      </c>
      <c r="M4" s="37"/>
      <c r="N4" s="37">
        <f t="shared" ref="N4:N34" si="4">K4+L4</f>
        <v>650.78</v>
      </c>
      <c r="O4" s="7"/>
      <c r="P4" s="39">
        <f t="shared" ref="P4:P34" si="5">SUM(D4+G4+J4+N4)</f>
        <v>3236.95</v>
      </c>
      <c r="U4" s="286"/>
    </row>
    <row r="5">
      <c r="A5" s="288">
        <v>46024.0</v>
      </c>
      <c r="B5" s="113">
        <v>173.66</v>
      </c>
      <c r="C5" s="113">
        <v>2010.95</v>
      </c>
      <c r="D5" s="37">
        <f t="shared" si="1"/>
        <v>2184.61</v>
      </c>
      <c r="E5" s="113">
        <v>155.46</v>
      </c>
      <c r="F5" s="113">
        <v>185.02</v>
      </c>
      <c r="G5" s="37">
        <f t="shared" si="2"/>
        <v>340.48</v>
      </c>
      <c r="H5" s="113">
        <v>132.02</v>
      </c>
      <c r="I5" s="113">
        <v>322.05</v>
      </c>
      <c r="J5" s="37">
        <f t="shared" si="3"/>
        <v>454.07</v>
      </c>
      <c r="K5" s="113">
        <v>144.13</v>
      </c>
      <c r="L5" s="113">
        <v>312.29</v>
      </c>
      <c r="M5" s="37"/>
      <c r="N5" s="37">
        <f t="shared" si="4"/>
        <v>456.42</v>
      </c>
      <c r="O5" s="7"/>
      <c r="P5" s="39">
        <f t="shared" si="5"/>
        <v>3435.58</v>
      </c>
      <c r="U5" s="286"/>
    </row>
    <row r="6">
      <c r="A6" s="288">
        <v>46025.0</v>
      </c>
      <c r="B6" s="113">
        <v>844.77</v>
      </c>
      <c r="C6" s="113">
        <v>1295.82</v>
      </c>
      <c r="D6" s="37">
        <f t="shared" si="1"/>
        <v>2140.59</v>
      </c>
      <c r="E6" s="113">
        <v>397.2</v>
      </c>
      <c r="F6" s="113">
        <v>646.67</v>
      </c>
      <c r="G6" s="37">
        <f t="shared" si="2"/>
        <v>1043.87</v>
      </c>
      <c r="H6" s="113">
        <v>20.0</v>
      </c>
      <c r="I6" s="113">
        <v>557.43</v>
      </c>
      <c r="J6" s="37">
        <f t="shared" si="3"/>
        <v>577.43</v>
      </c>
      <c r="K6" s="113">
        <v>215.0</v>
      </c>
      <c r="L6" s="113">
        <v>264.03</v>
      </c>
      <c r="M6" s="37"/>
      <c r="N6" s="37">
        <f t="shared" si="4"/>
        <v>479.03</v>
      </c>
      <c r="O6" s="7"/>
      <c r="P6" s="39">
        <f t="shared" si="5"/>
        <v>4240.92</v>
      </c>
      <c r="U6" s="286"/>
    </row>
    <row r="7">
      <c r="A7" s="288">
        <v>46026.0</v>
      </c>
      <c r="B7" s="289">
        <v>534.33</v>
      </c>
      <c r="C7" s="113">
        <v>1205.94</v>
      </c>
      <c r="D7" s="37">
        <f t="shared" si="1"/>
        <v>1740.27</v>
      </c>
      <c r="E7" s="113">
        <v>72.89</v>
      </c>
      <c r="F7" s="113">
        <v>330.18</v>
      </c>
      <c r="G7" s="37">
        <f t="shared" si="2"/>
        <v>403.07</v>
      </c>
      <c r="H7" s="113">
        <v>78.3</v>
      </c>
      <c r="I7" s="113">
        <v>197.64</v>
      </c>
      <c r="J7" s="37">
        <f t="shared" si="3"/>
        <v>275.94</v>
      </c>
      <c r="K7" s="113">
        <v>150.0</v>
      </c>
      <c r="L7" s="113">
        <v>140.74</v>
      </c>
      <c r="M7" s="37"/>
      <c r="N7" s="37">
        <f t="shared" si="4"/>
        <v>290.74</v>
      </c>
      <c r="O7" s="7"/>
      <c r="P7" s="39">
        <f t="shared" si="5"/>
        <v>2710.02</v>
      </c>
      <c r="U7" s="286"/>
    </row>
    <row r="8">
      <c r="A8" s="288">
        <v>46027.0</v>
      </c>
      <c r="B8" s="113">
        <v>149.85</v>
      </c>
      <c r="C8" s="113">
        <v>848.35</v>
      </c>
      <c r="D8" s="37">
        <f t="shared" si="1"/>
        <v>998.2</v>
      </c>
      <c r="E8" s="113">
        <v>0.0</v>
      </c>
      <c r="F8" s="113">
        <v>89.86</v>
      </c>
      <c r="G8" s="37">
        <f t="shared" si="2"/>
        <v>89.86</v>
      </c>
      <c r="H8" s="113">
        <v>142.21</v>
      </c>
      <c r="I8" s="113">
        <v>129.9</v>
      </c>
      <c r="J8" s="37">
        <f t="shared" si="3"/>
        <v>272.11</v>
      </c>
      <c r="K8" s="113">
        <v>7.5</v>
      </c>
      <c r="L8" s="113">
        <v>246.51</v>
      </c>
      <c r="M8" s="37"/>
      <c r="N8" s="37">
        <f t="shared" si="4"/>
        <v>254.01</v>
      </c>
      <c r="O8" s="7"/>
      <c r="P8" s="39">
        <f t="shared" si="5"/>
        <v>1614.18</v>
      </c>
      <c r="U8" s="286"/>
    </row>
    <row r="9">
      <c r="A9" s="288">
        <v>46028.0</v>
      </c>
      <c r="B9" s="113">
        <v>193.0</v>
      </c>
      <c r="C9" s="113">
        <v>94.72</v>
      </c>
      <c r="D9" s="37">
        <f t="shared" si="1"/>
        <v>287.72</v>
      </c>
      <c r="E9" s="113">
        <v>95.93</v>
      </c>
      <c r="F9" s="113">
        <v>92.48</v>
      </c>
      <c r="G9" s="37">
        <f t="shared" si="2"/>
        <v>188.41</v>
      </c>
      <c r="H9" s="113">
        <v>90.37</v>
      </c>
      <c r="I9" s="113">
        <v>59.54</v>
      </c>
      <c r="J9" s="37">
        <f t="shared" si="3"/>
        <v>149.91</v>
      </c>
      <c r="K9" s="113">
        <v>99.13</v>
      </c>
      <c r="L9" s="113">
        <v>89.85</v>
      </c>
      <c r="M9" s="37"/>
      <c r="N9" s="37">
        <f t="shared" si="4"/>
        <v>188.98</v>
      </c>
      <c r="O9" s="7"/>
      <c r="P9" s="39">
        <f t="shared" si="5"/>
        <v>815.02</v>
      </c>
      <c r="U9" s="286"/>
    </row>
    <row r="10">
      <c r="A10" s="288">
        <v>46029.0</v>
      </c>
      <c r="B10" s="113">
        <v>157.06</v>
      </c>
      <c r="C10" s="113">
        <v>976.22</v>
      </c>
      <c r="D10" s="37">
        <f t="shared" si="1"/>
        <v>1133.28</v>
      </c>
      <c r="E10" s="113">
        <v>0.0</v>
      </c>
      <c r="F10" s="113">
        <v>70.36</v>
      </c>
      <c r="G10" s="37">
        <f t="shared" si="2"/>
        <v>70.36</v>
      </c>
      <c r="H10" s="113">
        <v>39.49</v>
      </c>
      <c r="I10" s="33">
        <v>48.72</v>
      </c>
      <c r="J10" s="37">
        <f t="shared" si="3"/>
        <v>88.21</v>
      </c>
      <c r="K10" s="113">
        <v>55.0</v>
      </c>
      <c r="L10" s="113">
        <v>54.13</v>
      </c>
      <c r="M10" s="37"/>
      <c r="N10" s="37">
        <f t="shared" si="4"/>
        <v>109.13</v>
      </c>
      <c r="O10" s="7"/>
      <c r="P10" s="39">
        <f t="shared" si="5"/>
        <v>1400.98</v>
      </c>
      <c r="U10" s="286"/>
    </row>
    <row r="11">
      <c r="A11" s="288">
        <v>46030.0</v>
      </c>
      <c r="B11" s="113">
        <v>340.0</v>
      </c>
      <c r="C11" s="113">
        <v>166.43</v>
      </c>
      <c r="D11" s="37">
        <f t="shared" si="1"/>
        <v>506.43</v>
      </c>
      <c r="E11" s="113">
        <v>120.08</v>
      </c>
      <c r="F11" s="113">
        <v>62.71</v>
      </c>
      <c r="G11" s="37">
        <f t="shared" si="2"/>
        <v>182.79</v>
      </c>
      <c r="H11" s="290">
        <v>0.0</v>
      </c>
      <c r="I11" s="113">
        <v>70.36</v>
      </c>
      <c r="J11" s="37">
        <f t="shared" si="3"/>
        <v>70.36</v>
      </c>
      <c r="K11" s="113">
        <v>0.0</v>
      </c>
      <c r="L11" s="113">
        <v>16.24</v>
      </c>
      <c r="M11" s="37"/>
      <c r="N11" s="37">
        <f t="shared" si="4"/>
        <v>16.24</v>
      </c>
      <c r="O11" s="7"/>
      <c r="P11" s="39">
        <f t="shared" si="5"/>
        <v>775.82</v>
      </c>
      <c r="U11" s="286"/>
    </row>
    <row r="12">
      <c r="A12" s="288">
        <v>46031.0</v>
      </c>
      <c r="B12" s="113">
        <v>0.0</v>
      </c>
      <c r="C12" s="33">
        <v>465.52</v>
      </c>
      <c r="D12" s="37">
        <f t="shared" si="1"/>
        <v>465.52</v>
      </c>
      <c r="E12" s="113">
        <v>65.0</v>
      </c>
      <c r="F12" s="113">
        <v>184.03</v>
      </c>
      <c r="G12" s="37">
        <f t="shared" si="2"/>
        <v>249.03</v>
      </c>
      <c r="H12" s="113">
        <v>27.06</v>
      </c>
      <c r="I12" s="113">
        <v>216.5</v>
      </c>
      <c r="J12" s="37">
        <f t="shared" si="3"/>
        <v>243.56</v>
      </c>
      <c r="K12" s="113">
        <v>92.02</v>
      </c>
      <c r="L12" s="113">
        <v>156.97</v>
      </c>
      <c r="M12" s="37"/>
      <c r="N12" s="37">
        <f t="shared" si="4"/>
        <v>248.99</v>
      </c>
      <c r="O12" s="7"/>
      <c r="P12" s="39">
        <f t="shared" si="5"/>
        <v>1207.1</v>
      </c>
      <c r="U12" s="286"/>
    </row>
    <row r="13">
      <c r="A13" s="288">
        <v>46032.0</v>
      </c>
      <c r="B13" s="113">
        <v>498.11</v>
      </c>
      <c r="C13" s="113">
        <v>1398.37</v>
      </c>
      <c r="D13" s="37">
        <f t="shared" si="1"/>
        <v>1896.48</v>
      </c>
      <c r="E13" s="113">
        <v>456.87</v>
      </c>
      <c r="F13" s="113">
        <v>574.82</v>
      </c>
      <c r="G13" s="37">
        <f t="shared" si="2"/>
        <v>1031.69</v>
      </c>
      <c r="H13" s="113">
        <v>62.06</v>
      </c>
      <c r="I13" s="113">
        <v>513.18</v>
      </c>
      <c r="J13" s="37">
        <f t="shared" si="3"/>
        <v>575.24</v>
      </c>
      <c r="K13" s="33">
        <v>261.1</v>
      </c>
      <c r="L13" s="113">
        <v>669.54</v>
      </c>
      <c r="M13" s="37"/>
      <c r="N13" s="37">
        <f t="shared" si="4"/>
        <v>930.64</v>
      </c>
      <c r="O13" s="7"/>
      <c r="P13" s="39">
        <f t="shared" si="5"/>
        <v>4434.05</v>
      </c>
      <c r="U13" s="286"/>
    </row>
    <row r="14">
      <c r="A14" s="288">
        <v>46033.0</v>
      </c>
      <c r="B14" s="113">
        <v>140.31</v>
      </c>
      <c r="C14" s="113">
        <v>1102.59</v>
      </c>
      <c r="D14" s="37">
        <f t="shared" si="1"/>
        <v>1242.9</v>
      </c>
      <c r="E14" s="113">
        <v>103.0</v>
      </c>
      <c r="F14" s="113">
        <v>336.67</v>
      </c>
      <c r="G14" s="37">
        <f t="shared" si="2"/>
        <v>439.67</v>
      </c>
      <c r="H14" s="291">
        <v>173.21</v>
      </c>
      <c r="I14" s="291">
        <v>604.73</v>
      </c>
      <c r="J14" s="37">
        <f t="shared" si="3"/>
        <v>777.94</v>
      </c>
      <c r="K14" s="113">
        <v>288.57</v>
      </c>
      <c r="L14" s="113">
        <v>300.21</v>
      </c>
      <c r="M14" s="37"/>
      <c r="N14" s="37">
        <f t="shared" si="4"/>
        <v>588.78</v>
      </c>
      <c r="O14" s="7"/>
      <c r="P14" s="39">
        <f t="shared" si="5"/>
        <v>3049.29</v>
      </c>
      <c r="U14" s="286"/>
    </row>
    <row r="15">
      <c r="A15" s="288">
        <v>46034.0</v>
      </c>
      <c r="B15" s="113">
        <v>29.0</v>
      </c>
      <c r="C15" s="113">
        <v>328.99</v>
      </c>
      <c r="D15" s="37">
        <f t="shared" si="1"/>
        <v>357.99</v>
      </c>
      <c r="E15" s="113">
        <v>95.99</v>
      </c>
      <c r="F15" s="113">
        <v>48.72</v>
      </c>
      <c r="G15" s="37">
        <f t="shared" si="2"/>
        <v>144.71</v>
      </c>
      <c r="H15" s="113">
        <v>0.0</v>
      </c>
      <c r="I15" s="113">
        <v>59.55</v>
      </c>
      <c r="J15" s="37">
        <f t="shared" si="3"/>
        <v>59.55</v>
      </c>
      <c r="K15" s="113">
        <v>107.06</v>
      </c>
      <c r="L15" s="113">
        <v>27.07</v>
      </c>
      <c r="M15" s="37"/>
      <c r="N15" s="37">
        <f t="shared" si="4"/>
        <v>134.13</v>
      </c>
      <c r="O15" s="7"/>
      <c r="P15" s="39">
        <f t="shared" si="5"/>
        <v>696.38</v>
      </c>
      <c r="U15" s="286"/>
    </row>
    <row r="16">
      <c r="A16" s="288">
        <v>46035.0</v>
      </c>
      <c r="B16" s="113">
        <v>133.26</v>
      </c>
      <c r="C16" s="113">
        <v>798.45</v>
      </c>
      <c r="D16" s="37">
        <f t="shared" si="1"/>
        <v>931.71</v>
      </c>
      <c r="E16" s="113">
        <v>15.0</v>
      </c>
      <c r="F16" s="113">
        <v>32.48</v>
      </c>
      <c r="G16" s="37">
        <f t="shared" si="2"/>
        <v>47.48</v>
      </c>
      <c r="H16" s="113">
        <v>45.59</v>
      </c>
      <c r="I16" s="113">
        <v>56.57</v>
      </c>
      <c r="J16" s="37">
        <f t="shared" si="3"/>
        <v>102.16</v>
      </c>
      <c r="K16" s="113">
        <v>45.0</v>
      </c>
      <c r="L16" s="113">
        <v>97.43</v>
      </c>
      <c r="M16" s="37"/>
      <c r="N16" s="37">
        <f t="shared" si="4"/>
        <v>142.43</v>
      </c>
      <c r="O16" s="7"/>
      <c r="P16" s="39">
        <f t="shared" si="5"/>
        <v>1223.78</v>
      </c>
      <c r="U16" s="286"/>
    </row>
    <row r="17">
      <c r="A17" s="288">
        <v>46036.0</v>
      </c>
      <c r="B17" s="113">
        <v>190.73</v>
      </c>
      <c r="C17" s="113">
        <v>440.15</v>
      </c>
      <c r="D17" s="37">
        <f t="shared" si="1"/>
        <v>630.88</v>
      </c>
      <c r="E17" s="113">
        <v>82.99</v>
      </c>
      <c r="F17" s="113">
        <v>86.6</v>
      </c>
      <c r="G17" s="37">
        <f t="shared" si="2"/>
        <v>169.59</v>
      </c>
      <c r="H17" s="113">
        <v>0.0</v>
      </c>
      <c r="I17" s="113">
        <v>72.52</v>
      </c>
      <c r="J17" s="37">
        <f t="shared" si="3"/>
        <v>72.52</v>
      </c>
      <c r="K17" s="113">
        <v>50.0</v>
      </c>
      <c r="L17" s="113">
        <v>0.0</v>
      </c>
      <c r="M17" s="37"/>
      <c r="N17" s="37">
        <f t="shared" si="4"/>
        <v>50</v>
      </c>
      <c r="O17" s="7"/>
      <c r="P17" s="39">
        <f t="shared" si="5"/>
        <v>922.99</v>
      </c>
      <c r="U17" s="286"/>
    </row>
    <row r="18">
      <c r="A18" s="288">
        <v>46037.0</v>
      </c>
      <c r="B18" s="292">
        <v>0.0</v>
      </c>
      <c r="C18" s="292">
        <v>470.89</v>
      </c>
      <c r="D18" s="37">
        <f t="shared" si="1"/>
        <v>470.89</v>
      </c>
      <c r="E18" s="113">
        <v>47.0</v>
      </c>
      <c r="F18" s="113">
        <v>21.65</v>
      </c>
      <c r="G18" s="37">
        <f t="shared" si="2"/>
        <v>68.65</v>
      </c>
      <c r="H18" s="113">
        <v>162.38</v>
      </c>
      <c r="I18" s="113">
        <v>149.39</v>
      </c>
      <c r="J18" s="37">
        <f t="shared" si="3"/>
        <v>311.77</v>
      </c>
      <c r="K18" s="113">
        <v>56.24</v>
      </c>
      <c r="L18" s="113">
        <v>165.63</v>
      </c>
      <c r="M18" s="37"/>
      <c r="N18" s="37">
        <f t="shared" si="4"/>
        <v>221.87</v>
      </c>
      <c r="O18" s="7"/>
      <c r="P18" s="39">
        <f t="shared" si="5"/>
        <v>1073.18</v>
      </c>
      <c r="U18" s="286"/>
    </row>
    <row r="19">
      <c r="A19" s="288">
        <v>46038.0</v>
      </c>
      <c r="B19" s="113">
        <v>277.38</v>
      </c>
      <c r="C19" s="113">
        <v>1131.86</v>
      </c>
      <c r="D19" s="37">
        <f t="shared" si="1"/>
        <v>1409.24</v>
      </c>
      <c r="E19" s="113">
        <v>15.0</v>
      </c>
      <c r="F19" s="113">
        <v>21.65</v>
      </c>
      <c r="G19" s="37">
        <f t="shared" si="2"/>
        <v>36.65</v>
      </c>
      <c r="H19" s="113">
        <v>52.89</v>
      </c>
      <c r="I19" s="113">
        <v>234.0</v>
      </c>
      <c r="J19" s="37">
        <f t="shared" si="3"/>
        <v>286.89</v>
      </c>
      <c r="K19" s="113">
        <v>0.0</v>
      </c>
      <c r="L19" s="113">
        <v>268.02</v>
      </c>
      <c r="M19" s="37"/>
      <c r="N19" s="37">
        <f t="shared" si="4"/>
        <v>268.02</v>
      </c>
      <c r="O19" s="7"/>
      <c r="P19" s="39">
        <f t="shared" si="5"/>
        <v>2000.8</v>
      </c>
      <c r="U19" s="286"/>
    </row>
    <row r="20">
      <c r="A20" s="288">
        <v>46039.0</v>
      </c>
      <c r="B20" s="113">
        <v>210.49</v>
      </c>
      <c r="C20" s="113">
        <v>1499.3</v>
      </c>
      <c r="D20" s="37">
        <f t="shared" si="1"/>
        <v>1709.79</v>
      </c>
      <c r="E20" s="113">
        <v>130.0</v>
      </c>
      <c r="F20" s="113">
        <v>386.39</v>
      </c>
      <c r="G20" s="37">
        <f t="shared" si="2"/>
        <v>516.39</v>
      </c>
      <c r="H20" s="113">
        <v>245.08</v>
      </c>
      <c r="I20" s="113">
        <v>299.86</v>
      </c>
      <c r="J20" s="37">
        <f t="shared" si="3"/>
        <v>544.94</v>
      </c>
      <c r="K20" s="113">
        <v>47.06</v>
      </c>
      <c r="L20" s="113">
        <v>344.06</v>
      </c>
      <c r="M20" s="37"/>
      <c r="N20" s="37">
        <f t="shared" si="4"/>
        <v>391.12</v>
      </c>
      <c r="O20" s="7"/>
      <c r="P20" s="39">
        <f t="shared" si="5"/>
        <v>3162.24</v>
      </c>
      <c r="U20" s="286"/>
    </row>
    <row r="21">
      <c r="A21" s="288">
        <v>46040.0</v>
      </c>
      <c r="B21" s="113">
        <v>323.6</v>
      </c>
      <c r="C21" s="113">
        <v>1521.46</v>
      </c>
      <c r="D21" s="37">
        <f t="shared" si="1"/>
        <v>1845.06</v>
      </c>
      <c r="E21" s="113">
        <v>135.97</v>
      </c>
      <c r="F21" s="113">
        <v>117.1</v>
      </c>
      <c r="G21" s="37">
        <f t="shared" si="2"/>
        <v>253.07</v>
      </c>
      <c r="H21" s="33">
        <v>69.13</v>
      </c>
      <c r="I21" s="113">
        <v>160.49</v>
      </c>
      <c r="J21" s="37">
        <f t="shared" si="3"/>
        <v>229.62</v>
      </c>
      <c r="K21" s="113">
        <v>86.65</v>
      </c>
      <c r="L21" s="113">
        <v>218.94</v>
      </c>
      <c r="M21" s="37"/>
      <c r="N21" s="37">
        <f t="shared" si="4"/>
        <v>305.59</v>
      </c>
      <c r="O21" s="7"/>
      <c r="P21" s="39">
        <f t="shared" si="5"/>
        <v>2633.34</v>
      </c>
      <c r="U21" s="286"/>
    </row>
    <row r="22">
      <c r="A22" s="288">
        <v>46041.0</v>
      </c>
      <c r="B22" s="292">
        <v>32.48</v>
      </c>
      <c r="C22" s="292">
        <v>718.98</v>
      </c>
      <c r="D22" s="37">
        <f t="shared" si="1"/>
        <v>751.46</v>
      </c>
      <c r="E22" s="113">
        <v>105.0</v>
      </c>
      <c r="F22" s="113">
        <v>276.04</v>
      </c>
      <c r="G22" s="37">
        <f t="shared" si="2"/>
        <v>381.04</v>
      </c>
      <c r="H22" s="113">
        <v>0.0</v>
      </c>
      <c r="I22" s="113">
        <v>221.92</v>
      </c>
      <c r="J22" s="37">
        <f t="shared" si="3"/>
        <v>221.92</v>
      </c>
      <c r="K22" s="113">
        <v>80.0</v>
      </c>
      <c r="L22" s="113">
        <v>70.36</v>
      </c>
      <c r="M22" s="37"/>
      <c r="N22" s="37">
        <f t="shared" si="4"/>
        <v>150.36</v>
      </c>
      <c r="O22" s="7"/>
      <c r="P22" s="39">
        <f t="shared" si="5"/>
        <v>1504.78</v>
      </c>
      <c r="U22" s="286"/>
    </row>
    <row r="23">
      <c r="A23" s="288">
        <v>46042.0</v>
      </c>
      <c r="B23" s="113">
        <v>276.65</v>
      </c>
      <c r="C23" s="113">
        <v>337.48</v>
      </c>
      <c r="D23" s="37">
        <f t="shared" si="1"/>
        <v>614.13</v>
      </c>
      <c r="E23" s="113">
        <v>0.0</v>
      </c>
      <c r="F23" s="113">
        <v>86.6</v>
      </c>
      <c r="G23" s="37">
        <f t="shared" si="2"/>
        <v>86.6</v>
      </c>
      <c r="H23" s="113">
        <v>0.0</v>
      </c>
      <c r="I23" s="113">
        <v>102.84</v>
      </c>
      <c r="J23" s="37">
        <f t="shared" si="3"/>
        <v>102.84</v>
      </c>
      <c r="K23" s="113">
        <v>95.0</v>
      </c>
      <c r="L23" s="113">
        <v>83.35</v>
      </c>
      <c r="M23" s="37"/>
      <c r="N23" s="37">
        <f t="shared" si="4"/>
        <v>178.35</v>
      </c>
      <c r="O23" s="7"/>
      <c r="P23" s="39">
        <f t="shared" si="5"/>
        <v>981.92</v>
      </c>
      <c r="U23" s="286"/>
    </row>
    <row r="24">
      <c r="A24" s="288">
        <v>46043.0</v>
      </c>
      <c r="B24" s="113">
        <v>80.41</v>
      </c>
      <c r="C24" s="113">
        <v>148.14</v>
      </c>
      <c r="D24" s="37">
        <f t="shared" si="1"/>
        <v>228.55</v>
      </c>
      <c r="E24" s="113">
        <v>0.0</v>
      </c>
      <c r="F24" s="113">
        <v>37.89</v>
      </c>
      <c r="G24" s="37">
        <f t="shared" si="2"/>
        <v>37.89</v>
      </c>
      <c r="H24" s="113">
        <v>10.0</v>
      </c>
      <c r="I24" s="113">
        <v>151.55</v>
      </c>
      <c r="J24" s="37">
        <f t="shared" si="3"/>
        <v>161.55</v>
      </c>
      <c r="K24" s="113">
        <v>0.0</v>
      </c>
      <c r="L24" s="113">
        <v>59.54</v>
      </c>
      <c r="M24" s="37"/>
      <c r="N24" s="37">
        <f t="shared" si="4"/>
        <v>59.54</v>
      </c>
      <c r="O24" s="7"/>
      <c r="P24" s="39">
        <f t="shared" si="5"/>
        <v>487.53</v>
      </c>
      <c r="U24" s="286"/>
    </row>
    <row r="25">
      <c r="A25" s="288">
        <v>46044.0</v>
      </c>
      <c r="B25" s="113">
        <v>660.0</v>
      </c>
      <c r="C25" s="113">
        <v>81.18</v>
      </c>
      <c r="D25" s="37">
        <f t="shared" si="1"/>
        <v>741.18</v>
      </c>
      <c r="E25" s="113">
        <v>40.0</v>
      </c>
      <c r="F25" s="113">
        <v>32.48</v>
      </c>
      <c r="G25" s="37">
        <f t="shared" si="2"/>
        <v>72.48</v>
      </c>
      <c r="H25" s="113">
        <v>30.0</v>
      </c>
      <c r="I25" s="113">
        <v>32.48</v>
      </c>
      <c r="J25" s="37">
        <f t="shared" si="3"/>
        <v>62.48</v>
      </c>
      <c r="K25" s="113">
        <v>0.0</v>
      </c>
      <c r="L25" s="113">
        <v>85.25</v>
      </c>
      <c r="M25" s="37"/>
      <c r="N25" s="37">
        <f t="shared" si="4"/>
        <v>85.25</v>
      </c>
      <c r="O25" s="7"/>
      <c r="P25" s="39">
        <f t="shared" si="5"/>
        <v>961.39</v>
      </c>
      <c r="U25" s="286"/>
    </row>
    <row r="26">
      <c r="A26" s="288">
        <v>46045.0</v>
      </c>
      <c r="B26" s="60">
        <v>192.0</v>
      </c>
      <c r="C26" s="60">
        <v>536.92</v>
      </c>
      <c r="D26" s="58">
        <f t="shared" si="1"/>
        <v>728.92</v>
      </c>
      <c r="E26" s="60">
        <v>20.0</v>
      </c>
      <c r="F26" s="60">
        <v>173.21</v>
      </c>
      <c r="G26" s="58">
        <f t="shared" si="2"/>
        <v>193.21</v>
      </c>
      <c r="H26" s="60">
        <v>0.0</v>
      </c>
      <c r="I26" s="60">
        <v>80.33</v>
      </c>
      <c r="J26" s="37">
        <f t="shared" si="3"/>
        <v>80.33</v>
      </c>
      <c r="K26" s="60">
        <v>0.0</v>
      </c>
      <c r="L26" s="60">
        <v>256.1</v>
      </c>
      <c r="M26" s="37"/>
      <c r="N26" s="37">
        <f t="shared" si="4"/>
        <v>256.1</v>
      </c>
      <c r="O26" s="7"/>
      <c r="P26" s="39">
        <f t="shared" si="5"/>
        <v>1258.56</v>
      </c>
      <c r="U26" s="286"/>
    </row>
    <row r="27">
      <c r="A27" s="288">
        <v>46046.0</v>
      </c>
      <c r="B27" s="33"/>
      <c r="C27" s="293"/>
      <c r="D27" s="58">
        <f t="shared" si="1"/>
        <v>0</v>
      </c>
      <c r="E27" s="293"/>
      <c r="F27" s="293"/>
      <c r="G27" s="58">
        <f t="shared" si="2"/>
        <v>0</v>
      </c>
      <c r="H27" s="293"/>
      <c r="I27" s="293"/>
      <c r="J27" s="37">
        <f t="shared" si="3"/>
        <v>0</v>
      </c>
      <c r="K27" s="293"/>
      <c r="L27" s="293">
        <v>0.0</v>
      </c>
      <c r="M27" s="37"/>
      <c r="N27" s="37">
        <f t="shared" si="4"/>
        <v>0</v>
      </c>
      <c r="O27" s="7"/>
      <c r="P27" s="39">
        <f t="shared" si="5"/>
        <v>0</v>
      </c>
      <c r="U27" s="286"/>
    </row>
    <row r="28">
      <c r="A28" s="288">
        <v>46047.0</v>
      </c>
      <c r="B28" s="113"/>
      <c r="C28" s="294"/>
      <c r="D28" s="58">
        <f t="shared" si="1"/>
        <v>0</v>
      </c>
      <c r="E28" s="294"/>
      <c r="F28" s="294"/>
      <c r="G28" s="58">
        <f t="shared" si="2"/>
        <v>0</v>
      </c>
      <c r="H28" s="294"/>
      <c r="I28" s="294"/>
      <c r="J28" s="37">
        <f t="shared" si="3"/>
        <v>0</v>
      </c>
      <c r="K28" s="294"/>
      <c r="L28" s="294"/>
      <c r="M28" s="37"/>
      <c r="N28" s="37">
        <f t="shared" si="4"/>
        <v>0</v>
      </c>
      <c r="O28" s="7"/>
      <c r="P28" s="39">
        <f t="shared" si="5"/>
        <v>0</v>
      </c>
      <c r="U28" s="286"/>
    </row>
    <row r="29">
      <c r="A29" s="288">
        <v>46048.0</v>
      </c>
      <c r="B29" s="113"/>
      <c r="C29" s="114"/>
      <c r="D29" s="58">
        <f t="shared" si="1"/>
        <v>0</v>
      </c>
      <c r="E29" s="114"/>
      <c r="F29" s="114"/>
      <c r="G29" s="58">
        <f t="shared" si="2"/>
        <v>0</v>
      </c>
      <c r="H29" s="114"/>
      <c r="I29" s="114"/>
      <c r="J29" s="37">
        <f t="shared" si="3"/>
        <v>0</v>
      </c>
      <c r="K29" s="114"/>
      <c r="L29" s="114"/>
      <c r="M29" s="37"/>
      <c r="N29" s="37">
        <f t="shared" si="4"/>
        <v>0</v>
      </c>
      <c r="O29" s="7"/>
      <c r="P29" s="39">
        <f t="shared" si="5"/>
        <v>0</v>
      </c>
    </row>
    <row r="30">
      <c r="A30" s="288">
        <v>46049.0</v>
      </c>
      <c r="B30" s="113"/>
      <c r="C30" s="114"/>
      <c r="D30" s="58">
        <f t="shared" si="1"/>
        <v>0</v>
      </c>
      <c r="E30" s="114"/>
      <c r="F30" s="114"/>
      <c r="G30" s="58">
        <f t="shared" si="2"/>
        <v>0</v>
      </c>
      <c r="H30" s="114"/>
      <c r="I30" s="114"/>
      <c r="J30" s="37">
        <f t="shared" si="3"/>
        <v>0</v>
      </c>
      <c r="K30" s="114"/>
      <c r="L30" s="114"/>
      <c r="M30" s="37"/>
      <c r="N30" s="37">
        <f t="shared" si="4"/>
        <v>0</v>
      </c>
      <c r="O30" s="7"/>
      <c r="P30" s="39">
        <f t="shared" si="5"/>
        <v>0</v>
      </c>
    </row>
    <row r="31">
      <c r="A31" s="288">
        <v>46050.0</v>
      </c>
      <c r="B31" s="44">
        <v>217.58</v>
      </c>
      <c r="C31" s="44">
        <v>652.15</v>
      </c>
      <c r="D31" s="58">
        <f t="shared" si="1"/>
        <v>869.73</v>
      </c>
      <c r="E31" s="60">
        <v>0.0</v>
      </c>
      <c r="F31" s="60">
        <v>108.26</v>
      </c>
      <c r="G31" s="58">
        <f t="shared" si="2"/>
        <v>108.26</v>
      </c>
      <c r="H31" s="60">
        <v>25.0</v>
      </c>
      <c r="I31" s="60">
        <v>166.9</v>
      </c>
      <c r="J31" s="37">
        <f t="shared" si="3"/>
        <v>191.9</v>
      </c>
      <c r="K31" s="60">
        <v>35.0</v>
      </c>
      <c r="L31" s="60">
        <v>0.0</v>
      </c>
      <c r="M31" s="37"/>
      <c r="N31" s="37">
        <f t="shared" si="4"/>
        <v>35</v>
      </c>
      <c r="O31" s="7"/>
      <c r="P31" s="39">
        <f t="shared" si="5"/>
        <v>1204.89</v>
      </c>
    </row>
    <row r="32">
      <c r="A32" s="288">
        <v>46051.0</v>
      </c>
      <c r="B32" s="33">
        <v>545.0</v>
      </c>
      <c r="C32" s="60">
        <v>881.8</v>
      </c>
      <c r="D32" s="58">
        <f t="shared" si="1"/>
        <v>1426.8</v>
      </c>
      <c r="E32" s="60">
        <v>0.0</v>
      </c>
      <c r="F32" s="60">
        <v>297.69</v>
      </c>
      <c r="G32" s="58">
        <f t="shared" si="2"/>
        <v>297.69</v>
      </c>
      <c r="H32" s="60">
        <v>42.06</v>
      </c>
      <c r="I32" s="60">
        <v>136.32</v>
      </c>
      <c r="J32" s="37">
        <f t="shared" si="3"/>
        <v>178.38</v>
      </c>
      <c r="K32" s="60">
        <v>0.0</v>
      </c>
      <c r="L32" s="60">
        <v>0.0</v>
      </c>
      <c r="M32" s="37"/>
      <c r="N32" s="37">
        <f t="shared" si="4"/>
        <v>0</v>
      </c>
      <c r="O32" s="7"/>
      <c r="P32" s="39">
        <f t="shared" si="5"/>
        <v>1902.87</v>
      </c>
      <c r="R32" s="295" t="s">
        <v>408</v>
      </c>
    </row>
    <row r="33">
      <c r="A33" s="288">
        <v>46052.0</v>
      </c>
      <c r="B33" s="33">
        <v>250.6</v>
      </c>
      <c r="C33" s="60">
        <v>995.84</v>
      </c>
      <c r="D33" s="58">
        <f t="shared" si="1"/>
        <v>1246.44</v>
      </c>
      <c r="E33" s="60">
        <v>15.0</v>
      </c>
      <c r="F33" s="60">
        <v>134.07</v>
      </c>
      <c r="G33" s="58">
        <f t="shared" si="2"/>
        <v>149.07</v>
      </c>
      <c r="H33" s="60">
        <v>0.0</v>
      </c>
      <c r="I33" s="60">
        <v>177.43</v>
      </c>
      <c r="J33" s="37">
        <f t="shared" si="3"/>
        <v>177.43</v>
      </c>
      <c r="K33" s="60">
        <v>30.0</v>
      </c>
      <c r="L33" s="60">
        <v>155.84</v>
      </c>
      <c r="M33" s="37"/>
      <c r="N33" s="37">
        <f t="shared" si="4"/>
        <v>185.84</v>
      </c>
      <c r="O33" s="7"/>
      <c r="P33" s="39">
        <f t="shared" si="5"/>
        <v>1758.78</v>
      </c>
    </row>
    <row r="34">
      <c r="A34" s="288">
        <v>46053.0</v>
      </c>
      <c r="B34" s="33">
        <v>234.38</v>
      </c>
      <c r="C34" s="60">
        <v>772.12</v>
      </c>
      <c r="D34" s="58">
        <f t="shared" si="1"/>
        <v>1006.5</v>
      </c>
      <c r="E34" s="60">
        <v>210.0</v>
      </c>
      <c r="F34" s="60">
        <v>308.52</v>
      </c>
      <c r="G34" s="58">
        <f t="shared" si="2"/>
        <v>518.52</v>
      </c>
      <c r="H34" s="60">
        <v>331.65</v>
      </c>
      <c r="I34" s="60">
        <v>382.76</v>
      </c>
      <c r="J34" s="37">
        <f t="shared" si="3"/>
        <v>714.41</v>
      </c>
      <c r="K34" s="60">
        <v>60.0</v>
      </c>
      <c r="L34" s="60">
        <v>307.45</v>
      </c>
      <c r="M34" s="37"/>
      <c r="N34" s="37">
        <f t="shared" si="4"/>
        <v>367.45</v>
      </c>
      <c r="O34" s="7"/>
      <c r="P34" s="39">
        <f t="shared" si="5"/>
        <v>2606.88</v>
      </c>
    </row>
    <row r="35">
      <c r="A35" s="7"/>
      <c r="B35" s="61">
        <f t="shared" ref="B35:C35" si="6">SUM(B4:B34)</f>
        <v>6870.84</v>
      </c>
      <c r="C35" s="61">
        <f t="shared" si="6"/>
        <v>22183.42</v>
      </c>
      <c r="D35" s="62"/>
      <c r="E35" s="61">
        <f t="shared" ref="E35:F35" si="7">SUM(E4:E34)</f>
        <v>2497.46</v>
      </c>
      <c r="F35" s="61">
        <f t="shared" si="7"/>
        <v>5181.49</v>
      </c>
      <c r="G35" s="62"/>
      <c r="H35" s="61">
        <f t="shared" ref="H35:I35" si="8">SUM(H4:H34)</f>
        <v>1975.9</v>
      </c>
      <c r="I35" s="61">
        <f t="shared" si="8"/>
        <v>5546.32</v>
      </c>
      <c r="J35" s="62"/>
      <c r="K35" s="61">
        <f t="shared" ref="K35:L35" si="9">SUM(K4:K34)</f>
        <v>2218.52</v>
      </c>
      <c r="L35" s="61">
        <f t="shared" si="9"/>
        <v>4826.27</v>
      </c>
      <c r="M35" s="7"/>
      <c r="N35" s="7"/>
      <c r="O35" s="7"/>
      <c r="P35" s="7"/>
    </row>
    <row r="36">
      <c r="A36" s="7"/>
      <c r="B36" s="7"/>
      <c r="C36" s="64" t="s">
        <v>61</v>
      </c>
      <c r="D36" s="65">
        <f>SUM(D4:D34)</f>
        <v>29054.26</v>
      </c>
      <c r="E36" s="7"/>
      <c r="F36" s="64" t="s">
        <v>3</v>
      </c>
      <c r="G36" s="66">
        <f>SUM(G4:G34)</f>
        <v>7678.95</v>
      </c>
      <c r="H36" s="7"/>
      <c r="I36" s="64" t="s">
        <v>4</v>
      </c>
      <c r="J36" s="67">
        <f>SUM(J4:J34)</f>
        <v>7522.22</v>
      </c>
      <c r="K36" s="7"/>
      <c r="L36" s="64" t="s">
        <v>5</v>
      </c>
      <c r="M36" s="67"/>
      <c r="N36" s="67">
        <f>SUM(N4:N34)</f>
        <v>7044.79</v>
      </c>
      <c r="O36" s="7"/>
      <c r="P36" s="225">
        <f>SUM(P4:P34)</f>
        <v>51300.22</v>
      </c>
    </row>
    <row r="37">
      <c r="A37" s="7"/>
      <c r="B37" s="7"/>
      <c r="C37" s="7"/>
      <c r="D37" s="7"/>
      <c r="E37" s="7"/>
      <c r="F37" s="7"/>
      <c r="G37" s="64">
        <v>-259.8</v>
      </c>
      <c r="H37" s="7"/>
      <c r="I37" s="7"/>
      <c r="J37" s="7"/>
      <c r="K37" s="7"/>
      <c r="L37" s="7"/>
      <c r="M37" s="7"/>
      <c r="N37" s="7"/>
      <c r="O37" s="7"/>
      <c r="P37" s="7"/>
    </row>
    <row r="38">
      <c r="A38" s="7"/>
      <c r="B38" s="7"/>
      <c r="C38" s="7"/>
      <c r="D38" s="7"/>
      <c r="E38" s="7"/>
      <c r="F38" s="7"/>
      <c r="G38" s="64">
        <v>7419.15</v>
      </c>
      <c r="H38" s="7"/>
      <c r="I38" s="7"/>
      <c r="J38" s="7"/>
      <c r="K38" s="7"/>
      <c r="L38" s="7"/>
      <c r="M38" s="7"/>
      <c r="N38" s="7"/>
      <c r="O38" s="7"/>
      <c r="P38" s="7"/>
    </row>
    <row r="39">
      <c r="A39" s="7"/>
      <c r="B39" s="7"/>
      <c r="C39" s="7"/>
      <c r="D39" s="7"/>
      <c r="E39" s="7"/>
      <c r="F39" s="7"/>
      <c r="G39" s="7"/>
      <c r="H39" s="296"/>
      <c r="I39" s="296"/>
      <c r="J39" s="7"/>
      <c r="K39" s="7"/>
      <c r="L39" s="7"/>
      <c r="M39" s="7"/>
      <c r="N39" s="7"/>
      <c r="O39" s="7"/>
      <c r="P39" s="7"/>
    </row>
    <row r="40">
      <c r="A40" s="74" t="s">
        <v>63</v>
      </c>
      <c r="B40" s="76">
        <f>B35+E35+H35+K35</f>
        <v>13562.72</v>
      </c>
      <c r="C40" s="7"/>
      <c r="D40" s="297" t="s">
        <v>409</v>
      </c>
      <c r="E40" s="297" t="s">
        <v>410</v>
      </c>
      <c r="F40" s="297" t="s">
        <v>249</v>
      </c>
      <c r="G40" s="7"/>
      <c r="H40" s="226" t="s">
        <v>246</v>
      </c>
      <c r="I40" s="226" t="s">
        <v>247</v>
      </c>
      <c r="J40" s="226" t="s">
        <v>248</v>
      </c>
      <c r="K40" s="226" t="s">
        <v>249</v>
      </c>
      <c r="L40" s="298" t="s">
        <v>250</v>
      </c>
      <c r="M40" s="226"/>
      <c r="N40" s="226" t="s">
        <v>251</v>
      </c>
      <c r="O40" s="7"/>
      <c r="P40" s="7"/>
    </row>
    <row r="41">
      <c r="A41" s="74" t="s">
        <v>64</v>
      </c>
      <c r="B41" s="76">
        <f>C35+F35+I35+L35</f>
        <v>37737.5</v>
      </c>
      <c r="C41" s="7"/>
      <c r="D41" s="299">
        <v>12503.0</v>
      </c>
      <c r="E41" s="299">
        <v>9166.18</v>
      </c>
      <c r="F41" s="299">
        <v>155.0</v>
      </c>
      <c r="G41" s="7"/>
      <c r="H41" s="244"/>
      <c r="I41" s="68"/>
      <c r="J41" s="68"/>
      <c r="K41" s="68"/>
      <c r="L41" s="68"/>
      <c r="M41" s="68"/>
      <c r="N41" s="245"/>
      <c r="O41" s="7"/>
      <c r="P41" s="7"/>
    </row>
    <row r="42">
      <c r="A42" s="78"/>
      <c r="B42" s="79"/>
      <c r="C42" s="7"/>
      <c r="D42" s="300" t="s">
        <v>351</v>
      </c>
      <c r="E42" s="72">
        <f>SUM(D41:E41:F41)</f>
        <v>21824.18</v>
      </c>
      <c r="H42" s="229">
        <v>51300.22</v>
      </c>
      <c r="I42" s="230">
        <v>13562.72</v>
      </c>
      <c r="J42" s="230">
        <v>9166.18</v>
      </c>
      <c r="K42" s="230">
        <v>155.0</v>
      </c>
      <c r="L42" s="230">
        <v>12503.0</v>
      </c>
      <c r="M42" s="301" t="s">
        <v>411</v>
      </c>
      <c r="N42" s="232"/>
      <c r="O42" s="302" t="s">
        <v>412</v>
      </c>
      <c r="P42" s="7"/>
    </row>
    <row r="43">
      <c r="A43" s="81" t="s">
        <v>65</v>
      </c>
      <c r="B43" s="67">
        <f>SUM(P4:P34)</f>
        <v>51300.22</v>
      </c>
      <c r="C43" s="7"/>
      <c r="D43" s="7"/>
      <c r="E43" s="7"/>
      <c r="F43" s="7"/>
      <c r="P43" s="7"/>
    </row>
    <row r="50">
      <c r="A50" s="233"/>
      <c r="B50" s="233" t="s">
        <v>11</v>
      </c>
      <c r="C50" s="233" t="s">
        <v>3</v>
      </c>
      <c r="D50" s="233" t="s">
        <v>4</v>
      </c>
      <c r="E50" s="233" t="s">
        <v>5</v>
      </c>
      <c r="F50" s="233" t="s">
        <v>12</v>
      </c>
    </row>
    <row r="51">
      <c r="A51" s="288">
        <v>46023.0</v>
      </c>
      <c r="B51" s="234" t="s">
        <v>108</v>
      </c>
      <c r="C51" s="303" t="s">
        <v>413</v>
      </c>
      <c r="D51" s="236" t="s">
        <v>414</v>
      </c>
      <c r="E51" s="236" t="s">
        <v>289</v>
      </c>
      <c r="F51" s="44">
        <v>10.0</v>
      </c>
    </row>
    <row r="52">
      <c r="A52" s="288">
        <v>46024.0</v>
      </c>
      <c r="B52" s="234" t="s">
        <v>108</v>
      </c>
      <c r="C52" s="236" t="s">
        <v>415</v>
      </c>
      <c r="D52" s="236" t="s">
        <v>414</v>
      </c>
      <c r="E52" s="264" t="s">
        <v>416</v>
      </c>
      <c r="F52" s="44">
        <v>11.0</v>
      </c>
    </row>
    <row r="53">
      <c r="A53" s="288">
        <v>46025.0</v>
      </c>
      <c r="B53" s="234" t="s">
        <v>108</v>
      </c>
      <c r="C53" s="236" t="s">
        <v>417</v>
      </c>
      <c r="D53" s="264" t="s">
        <v>416</v>
      </c>
      <c r="E53" s="264" t="s">
        <v>418</v>
      </c>
      <c r="F53" s="44">
        <v>11.0</v>
      </c>
    </row>
    <row r="54">
      <c r="A54" s="288">
        <v>46026.0</v>
      </c>
      <c r="B54" s="234" t="s">
        <v>108</v>
      </c>
      <c r="C54" s="236" t="s">
        <v>417</v>
      </c>
      <c r="D54" s="264" t="s">
        <v>416</v>
      </c>
      <c r="E54" s="304" t="s">
        <v>419</v>
      </c>
      <c r="F54" s="44">
        <v>8.0</v>
      </c>
    </row>
    <row r="55">
      <c r="A55" s="288">
        <v>46027.0</v>
      </c>
      <c r="B55" s="234" t="s">
        <v>108</v>
      </c>
      <c r="C55" s="236" t="s">
        <v>417</v>
      </c>
      <c r="D55" s="236" t="s">
        <v>414</v>
      </c>
      <c r="E55" s="304" t="s">
        <v>420</v>
      </c>
      <c r="F55" s="44">
        <v>10.0</v>
      </c>
    </row>
    <row r="56">
      <c r="A56" s="288">
        <v>46028.0</v>
      </c>
      <c r="B56" s="234" t="s">
        <v>108</v>
      </c>
      <c r="C56" s="236" t="s">
        <v>417</v>
      </c>
      <c r="D56" s="236" t="s">
        <v>414</v>
      </c>
      <c r="E56" s="264" t="s">
        <v>416</v>
      </c>
      <c r="F56" s="44">
        <v>10.0</v>
      </c>
    </row>
    <row r="57">
      <c r="A57" s="288">
        <v>46029.0</v>
      </c>
      <c r="B57" s="234" t="s">
        <v>108</v>
      </c>
      <c r="C57" s="236" t="s">
        <v>417</v>
      </c>
      <c r="D57" s="236" t="s">
        <v>414</v>
      </c>
      <c r="E57" s="304" t="s">
        <v>421</v>
      </c>
      <c r="F57" s="44">
        <v>10.0</v>
      </c>
    </row>
    <row r="58">
      <c r="A58" s="288">
        <v>46030.0</v>
      </c>
      <c r="B58" s="234" t="s">
        <v>108</v>
      </c>
      <c r="C58" s="236" t="s">
        <v>417</v>
      </c>
      <c r="D58" s="236" t="s">
        <v>414</v>
      </c>
      <c r="E58" s="304" t="s">
        <v>422</v>
      </c>
      <c r="F58" s="44">
        <v>10.0</v>
      </c>
    </row>
    <row r="59">
      <c r="A59" s="288">
        <v>46031.0</v>
      </c>
      <c r="B59" s="234" t="s">
        <v>108</v>
      </c>
      <c r="C59" s="303" t="s">
        <v>423</v>
      </c>
      <c r="D59" s="236" t="s">
        <v>414</v>
      </c>
      <c r="E59" s="264" t="s">
        <v>416</v>
      </c>
      <c r="F59" s="44">
        <v>11.0</v>
      </c>
    </row>
    <row r="60">
      <c r="A60" s="288">
        <v>46032.0</v>
      </c>
      <c r="B60" s="234" t="s">
        <v>108</v>
      </c>
      <c r="C60" s="236" t="s">
        <v>417</v>
      </c>
      <c r="D60" s="236" t="s">
        <v>424</v>
      </c>
      <c r="E60" s="264" t="s">
        <v>416</v>
      </c>
      <c r="F60" s="44">
        <v>11.0</v>
      </c>
    </row>
    <row r="61">
      <c r="A61" s="288">
        <v>46033.0</v>
      </c>
      <c r="B61" s="234" t="s">
        <v>108</v>
      </c>
      <c r="C61" s="236" t="s">
        <v>417</v>
      </c>
      <c r="D61" s="236" t="s">
        <v>424</v>
      </c>
      <c r="E61" s="264" t="s">
        <v>416</v>
      </c>
      <c r="F61" s="44">
        <v>8.0</v>
      </c>
    </row>
    <row r="62">
      <c r="A62" s="288">
        <v>46034.0</v>
      </c>
      <c r="B62" s="234" t="s">
        <v>108</v>
      </c>
      <c r="C62" s="236" t="s">
        <v>417</v>
      </c>
      <c r="D62" s="236" t="s">
        <v>424</v>
      </c>
      <c r="E62" s="264" t="s">
        <v>416</v>
      </c>
      <c r="F62" s="44">
        <v>10.0</v>
      </c>
    </row>
    <row r="63">
      <c r="A63" s="288">
        <v>46035.0</v>
      </c>
      <c r="B63" s="305" t="s">
        <v>425</v>
      </c>
      <c r="C63" s="236" t="s">
        <v>417</v>
      </c>
      <c r="D63" s="236" t="s">
        <v>424</v>
      </c>
      <c r="E63" s="304" t="s">
        <v>426</v>
      </c>
      <c r="F63" s="44">
        <v>10.0</v>
      </c>
    </row>
    <row r="64">
      <c r="A64" s="288">
        <v>46036.0</v>
      </c>
      <c r="B64" s="234" t="s">
        <v>108</v>
      </c>
      <c r="C64" s="236" t="s">
        <v>417</v>
      </c>
      <c r="D64" s="236" t="s">
        <v>424</v>
      </c>
      <c r="E64" s="264" t="s">
        <v>416</v>
      </c>
      <c r="F64" s="44">
        <v>10.0</v>
      </c>
    </row>
    <row r="65">
      <c r="A65" s="288">
        <v>46037.0</v>
      </c>
      <c r="B65" s="234" t="s">
        <v>108</v>
      </c>
      <c r="C65" s="236" t="s">
        <v>417</v>
      </c>
      <c r="D65" s="236" t="s">
        <v>424</v>
      </c>
      <c r="E65" s="264" t="s">
        <v>416</v>
      </c>
      <c r="F65" s="44">
        <v>10.0</v>
      </c>
    </row>
    <row r="66">
      <c r="A66" s="288">
        <v>46038.0</v>
      </c>
      <c r="B66" s="234" t="s">
        <v>108</v>
      </c>
      <c r="C66" s="236" t="s">
        <v>417</v>
      </c>
      <c r="D66" s="264" t="s">
        <v>416</v>
      </c>
      <c r="E66" s="264" t="s">
        <v>427</v>
      </c>
      <c r="F66" s="44">
        <v>11.0</v>
      </c>
    </row>
    <row r="67">
      <c r="A67" s="288">
        <v>46039.0</v>
      </c>
      <c r="B67" s="305" t="s">
        <v>428</v>
      </c>
      <c r="C67" s="236" t="s">
        <v>417</v>
      </c>
      <c r="D67" s="304" t="s">
        <v>429</v>
      </c>
      <c r="E67" s="264" t="s">
        <v>427</v>
      </c>
      <c r="F67" s="44">
        <v>11.0</v>
      </c>
    </row>
    <row r="68">
      <c r="A68" s="288">
        <v>46040.0</v>
      </c>
      <c r="B68" s="234" t="s">
        <v>108</v>
      </c>
      <c r="C68" s="236" t="s">
        <v>417</v>
      </c>
      <c r="D68" s="264" t="s">
        <v>416</v>
      </c>
      <c r="E68" s="304" t="s">
        <v>430</v>
      </c>
      <c r="F68" s="44">
        <v>8.0</v>
      </c>
    </row>
    <row r="69">
      <c r="A69" s="288">
        <v>46041.0</v>
      </c>
      <c r="B69" s="234" t="s">
        <v>108</v>
      </c>
      <c r="C69" s="236" t="s">
        <v>417</v>
      </c>
      <c r="D69" s="264" t="s">
        <v>416</v>
      </c>
      <c r="E69" s="264" t="s">
        <v>427</v>
      </c>
      <c r="F69" s="44">
        <v>10.0</v>
      </c>
    </row>
    <row r="70">
      <c r="A70" s="288">
        <v>46042.0</v>
      </c>
      <c r="B70" s="234" t="s">
        <v>108</v>
      </c>
      <c r="C70" s="236" t="s">
        <v>417</v>
      </c>
      <c r="D70" s="264" t="s">
        <v>416</v>
      </c>
      <c r="E70" s="264" t="s">
        <v>427</v>
      </c>
      <c r="F70" s="44">
        <v>10.0</v>
      </c>
    </row>
    <row r="71">
      <c r="A71" s="288">
        <v>46043.0</v>
      </c>
      <c r="B71" s="305" t="s">
        <v>431</v>
      </c>
      <c r="C71" s="236" t="s">
        <v>417</v>
      </c>
      <c r="D71" s="264" t="s">
        <v>416</v>
      </c>
      <c r="E71" s="264" t="s">
        <v>427</v>
      </c>
      <c r="F71" s="44">
        <v>10.0</v>
      </c>
    </row>
    <row r="72">
      <c r="A72" s="288">
        <v>46044.0</v>
      </c>
      <c r="B72" s="305" t="s">
        <v>432</v>
      </c>
      <c r="C72" s="236" t="s">
        <v>417</v>
      </c>
      <c r="D72" s="304" t="s">
        <v>433</v>
      </c>
      <c r="E72" s="264" t="s">
        <v>427</v>
      </c>
      <c r="F72" s="44">
        <v>10.0</v>
      </c>
    </row>
    <row r="73">
      <c r="A73" s="288">
        <v>46045.0</v>
      </c>
      <c r="B73" s="234" t="s">
        <v>108</v>
      </c>
      <c r="C73" s="236" t="s">
        <v>417</v>
      </c>
      <c r="D73" s="264" t="s">
        <v>416</v>
      </c>
      <c r="E73" s="264" t="s">
        <v>427</v>
      </c>
      <c r="F73" s="44">
        <v>11.0</v>
      </c>
    </row>
    <row r="74">
      <c r="A74" s="288">
        <v>46046.0</v>
      </c>
      <c r="B74" s="306"/>
      <c r="C74" s="306"/>
      <c r="D74" s="306"/>
      <c r="E74" s="306"/>
    </row>
    <row r="75">
      <c r="A75" s="288">
        <v>46047.0</v>
      </c>
      <c r="B75" s="306"/>
      <c r="C75" s="306"/>
      <c r="D75" s="306"/>
      <c r="E75" s="306"/>
    </row>
    <row r="76">
      <c r="A76" s="288">
        <v>46048.0</v>
      </c>
      <c r="B76" s="306"/>
      <c r="C76" s="306"/>
      <c r="D76" s="306"/>
      <c r="E76" s="306"/>
    </row>
    <row r="77">
      <c r="A77" s="288">
        <v>46049.0</v>
      </c>
      <c r="B77" s="306"/>
      <c r="C77" s="306"/>
      <c r="D77" s="306"/>
      <c r="E77" s="306"/>
    </row>
    <row r="78">
      <c r="A78" s="288">
        <v>46050.0</v>
      </c>
      <c r="B78" s="264" t="s">
        <v>108</v>
      </c>
      <c r="C78" s="236" t="s">
        <v>417</v>
      </c>
      <c r="D78" s="264" t="s">
        <v>416</v>
      </c>
      <c r="E78" s="304" t="s">
        <v>434</v>
      </c>
      <c r="F78" s="44">
        <v>10.0</v>
      </c>
    </row>
    <row r="79">
      <c r="A79" s="288">
        <v>46051.0</v>
      </c>
      <c r="B79" s="264" t="s">
        <v>108</v>
      </c>
      <c r="C79" s="236" t="s">
        <v>417</v>
      </c>
      <c r="D79" s="264" t="s">
        <v>416</v>
      </c>
      <c r="E79" s="264" t="s">
        <v>350</v>
      </c>
      <c r="F79" s="44">
        <v>10.0</v>
      </c>
    </row>
    <row r="80">
      <c r="A80" s="288">
        <v>46052.0</v>
      </c>
      <c r="B80" s="264" t="s">
        <v>108</v>
      </c>
      <c r="C80" s="236" t="s">
        <v>417</v>
      </c>
      <c r="D80" s="264" t="s">
        <v>416</v>
      </c>
      <c r="E80" s="264" t="s">
        <v>350</v>
      </c>
      <c r="F80" s="44">
        <v>11.0</v>
      </c>
    </row>
    <row r="81">
      <c r="A81" s="288">
        <v>46053.0</v>
      </c>
      <c r="B81" s="304" t="s">
        <v>435</v>
      </c>
      <c r="C81" s="303" t="s">
        <v>436</v>
      </c>
      <c r="D81" s="304" t="s">
        <v>437</v>
      </c>
      <c r="E81" s="304" t="s">
        <v>438</v>
      </c>
      <c r="F81" s="44">
        <v>11.0</v>
      </c>
    </row>
    <row r="82">
      <c r="A82" s="69"/>
      <c r="B82" s="69">
        <f>IFERROR(__xludf.DUMMYFUNCTION("SUM(ARRAYFORMULA(IFERROR(VALUE(REGEXREPLACE(B51:B81,""[^\d]"","""")),0)))"),4006.0)</f>
        <v>4006</v>
      </c>
      <c r="C82" s="69">
        <f>IFERROR(__xludf.DUMMYFUNCTION("SUM(ARRAYFORMULA(IFERROR(VALUE(REGEXREPLACE(C51:C81,""[^\d]"","""")),0)))"),3622.0)</f>
        <v>3622</v>
      </c>
      <c r="D82" s="69">
        <f>IFERROR(__xludf.DUMMYFUNCTION("SUM(ARRAYFORMULA(IFERROR(VALUE(REGEXREPLACE(D51:D81,""[^\d]"","""")),0)))"),2340.0)</f>
        <v>2340</v>
      </c>
      <c r="E82" s="69">
        <f>IFERROR(__xludf.DUMMYFUNCTION("SUM(ARRAYFORMULA(IFERROR(VALUE(REGEXREPLACE(E51:E81,""[^\d]"","""")),0)))"),2690.0)</f>
        <v>2690</v>
      </c>
      <c r="F82" s="69">
        <f>SUM(F51:F81)</f>
        <v>273</v>
      </c>
    </row>
    <row r="84">
      <c r="A84" s="124"/>
      <c r="B84" s="124" t="s">
        <v>92</v>
      </c>
      <c r="C84" s="125">
        <f>SUM(B82+C82+D82+E82)</f>
        <v>12658</v>
      </c>
    </row>
    <row r="87">
      <c r="A87" s="271" t="s">
        <v>142</v>
      </c>
      <c r="B87" s="271" t="s">
        <v>12</v>
      </c>
      <c r="C87" s="271" t="s">
        <v>294</v>
      </c>
      <c r="D87" s="307" t="s">
        <v>439</v>
      </c>
      <c r="E87" s="307" t="s">
        <v>440</v>
      </c>
      <c r="G87" s="250" t="s">
        <v>152</v>
      </c>
      <c r="H87" s="251" t="s">
        <v>441</v>
      </c>
      <c r="I87" s="250" t="s">
        <v>153</v>
      </c>
      <c r="J87" s="250" t="s">
        <v>155</v>
      </c>
      <c r="L87" s="308" t="s">
        <v>442</v>
      </c>
      <c r="M87" s="308"/>
      <c r="N87" s="308" t="s">
        <v>443</v>
      </c>
      <c r="O87" s="308" t="s">
        <v>444</v>
      </c>
      <c r="P87" s="308" t="s">
        <v>445</v>
      </c>
    </row>
    <row r="88">
      <c r="A88" s="44" t="s">
        <v>289</v>
      </c>
      <c r="B88" s="44">
        <v>253.0</v>
      </c>
      <c r="C88" s="44">
        <v>2530.0</v>
      </c>
      <c r="D88" s="264" t="s">
        <v>446</v>
      </c>
      <c r="E88" s="309" t="s">
        <v>447</v>
      </c>
      <c r="G88" s="253" t="s">
        <v>448</v>
      </c>
      <c r="H88" s="261" t="s">
        <v>449</v>
      </c>
      <c r="I88" s="259" t="s">
        <v>450</v>
      </c>
      <c r="J88" s="261" t="s">
        <v>451</v>
      </c>
      <c r="L88" s="55" t="s">
        <v>452</v>
      </c>
      <c r="M88" s="148"/>
      <c r="N88" s="148" t="s">
        <v>2</v>
      </c>
      <c r="O88" s="310" t="s">
        <v>453</v>
      </c>
      <c r="P88" s="310" t="s">
        <v>454</v>
      </c>
    </row>
    <row r="89">
      <c r="A89" s="44" t="s">
        <v>350</v>
      </c>
      <c r="B89" s="44">
        <v>123.0</v>
      </c>
      <c r="C89" s="44">
        <v>1230.0</v>
      </c>
      <c r="D89" s="264" t="s">
        <v>455</v>
      </c>
      <c r="G89" s="253" t="s">
        <v>456</v>
      </c>
      <c r="H89" s="261" t="s">
        <v>457</v>
      </c>
      <c r="I89" s="259" t="s">
        <v>458</v>
      </c>
      <c r="J89" s="254" t="s">
        <v>459</v>
      </c>
      <c r="L89" s="311">
        <v>46031.0</v>
      </c>
      <c r="M89" s="162"/>
      <c r="N89" s="162" t="s">
        <v>3</v>
      </c>
      <c r="O89" s="312" t="s">
        <v>460</v>
      </c>
      <c r="P89" s="313" t="s">
        <v>461</v>
      </c>
    </row>
    <row r="90">
      <c r="A90" s="44" t="s">
        <v>462</v>
      </c>
      <c r="B90" s="44">
        <v>26.0</v>
      </c>
      <c r="C90" s="44">
        <v>260.0</v>
      </c>
      <c r="D90" s="264" t="s">
        <v>463</v>
      </c>
      <c r="G90" s="253" t="s">
        <v>256</v>
      </c>
      <c r="H90" s="261" t="s">
        <v>464</v>
      </c>
      <c r="I90" s="259" t="s">
        <v>465</v>
      </c>
      <c r="J90" s="254" t="s">
        <v>466</v>
      </c>
      <c r="L90" s="120"/>
      <c r="M90" s="162"/>
      <c r="N90" s="162" t="s">
        <v>4</v>
      </c>
      <c r="O90" s="120"/>
      <c r="P90" s="120"/>
    </row>
    <row r="91">
      <c r="A91" s="44" t="s">
        <v>467</v>
      </c>
      <c r="B91" s="44">
        <v>10.0</v>
      </c>
      <c r="C91" s="44">
        <v>100.0</v>
      </c>
      <c r="D91" s="314" t="s">
        <v>468</v>
      </c>
      <c r="G91" s="253" t="s">
        <v>469</v>
      </c>
      <c r="H91" s="261" t="s">
        <v>470</v>
      </c>
      <c r="I91" s="259" t="s">
        <v>471</v>
      </c>
      <c r="J91" s="261">
        <v>910.0</v>
      </c>
      <c r="L91" s="120"/>
      <c r="M91" s="162"/>
      <c r="N91" s="162" t="s">
        <v>5</v>
      </c>
      <c r="O91" s="120"/>
      <c r="P91" s="120"/>
    </row>
    <row r="92">
      <c r="A92" s="44" t="s">
        <v>424</v>
      </c>
      <c r="B92" s="44">
        <v>70.0</v>
      </c>
      <c r="C92" s="44">
        <v>910.0</v>
      </c>
      <c r="D92" s="264" t="s">
        <v>472</v>
      </c>
      <c r="G92" s="253" t="s">
        <v>29</v>
      </c>
      <c r="H92" s="261" t="s">
        <v>473</v>
      </c>
      <c r="I92" s="259" t="s">
        <v>474</v>
      </c>
      <c r="J92" s="262" t="s">
        <v>475</v>
      </c>
      <c r="L92" s="315">
        <v>46040.0</v>
      </c>
      <c r="M92" s="316"/>
      <c r="N92" s="316" t="s">
        <v>2</v>
      </c>
      <c r="O92" s="317">
        <v>80.0</v>
      </c>
      <c r="P92" s="318" t="s">
        <v>476</v>
      </c>
    </row>
    <row r="93">
      <c r="A93" s="44" t="s">
        <v>415</v>
      </c>
      <c r="B93" s="44">
        <v>273.0</v>
      </c>
      <c r="C93" s="44">
        <v>3600.0</v>
      </c>
      <c r="D93" s="264" t="s">
        <v>477</v>
      </c>
    </row>
    <row r="94">
      <c r="A94" s="44" t="s">
        <v>414</v>
      </c>
      <c r="G94" s="273" t="s">
        <v>176</v>
      </c>
      <c r="H94" s="274"/>
      <c r="I94" s="274"/>
      <c r="J94" s="105">
        <f>IFERROR(__xludf.DUMMYFUNCTION("SUM(
  SPLIT(
    TEXTJOIN(""+"", TRUE, J88:J92),
    ""+""
  )
)
"),12658.0)</f>
        <v>12658</v>
      </c>
    </row>
    <row r="95">
      <c r="A95" s="44" t="s">
        <v>108</v>
      </c>
      <c r="B95" s="44">
        <v>273.0</v>
      </c>
      <c r="C95" s="44">
        <v>3873.0</v>
      </c>
    </row>
    <row r="96">
      <c r="A96" s="300" t="s">
        <v>351</v>
      </c>
      <c r="B96" s="72"/>
      <c r="C96" s="72">
        <f>SUM(C88:C95)</f>
        <v>12503</v>
      </c>
      <c r="D96" s="72">
        <f>IFERROR(__xludf.DUMMYFUNCTION("SUM(ARRAYFORMULA(IFERROR(VALUE(REGEXREPLACE(D88:D95,""[^\d.]"","""")),0)))
"),9166.18)</f>
        <v>9166.18</v>
      </c>
      <c r="E96" s="72">
        <f>IFERROR(__xludf.DUMMYFUNCTION("SUM(ARRAYFORMULA(IFERROR(VALUE(REGEXREPLACE(E88:E95,""[^\d.]"","""")),0)))
"),155.0)</f>
        <v>155</v>
      </c>
    </row>
    <row r="98">
      <c r="A98" s="319" t="s">
        <v>478</v>
      </c>
      <c r="B98" s="320">
        <f>SUM(C96:D96:E96)</f>
        <v>21824.18</v>
      </c>
    </row>
  </sheetData>
  <mergeCells count="6">
    <mergeCell ref="A1:B1"/>
    <mergeCell ref="A2:A3"/>
    <mergeCell ref="B2:D2"/>
    <mergeCell ref="E2:G2"/>
    <mergeCell ref="H2:J2"/>
    <mergeCell ref="K2:N2"/>
  </mergeCells>
  <drawing r:id="rId1"/>
</worksheet>
</file>